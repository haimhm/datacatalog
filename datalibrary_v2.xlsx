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https://finalisrael-my.sharepoint.com/personal/benc_final_co_il/Documents/Data_Library/"/>
    </mc:Choice>
  </mc:AlternateContent>
  <xr:revisionPtr revIDLastSave="49" documentId="13_ncr:1_{BB574C7F-27F6-FF4F-A1F1-B997FD063A6D}" xr6:coauthVersionLast="47" xr6:coauthVersionMax="47" xr10:uidLastSave="{4795431E-1910-3848-BF5F-5C37E1E34A74}"/>
  <bookViews>
    <workbookView xWindow="-54000" yWindow="-5120" windowWidth="51160" windowHeight="31220" xr2:uid="{F0025B17-1D17-AE40-ADB3-98A8CEFAFF63}"/>
  </bookViews>
  <sheets>
    <sheet name="Sheet1" sheetId="1" r:id="rId1"/>
    <sheet name="Sheet2" sheetId="2" r:id="rId2"/>
  </sheets>
  <definedNames>
    <definedName name="_xlnm._FilterDatabase" localSheetId="0" hidden="1">Sheet1!$A$1:$AH$94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8" i="1" l="1"/>
  <c r="AE87" i="1"/>
  <c r="AE12" i="1"/>
  <c r="F79" i="1" l="1"/>
  <c r="F78" i="1"/>
  <c r="F77" i="1"/>
  <c r="F76" i="1"/>
  <c r="F75" i="1"/>
  <c r="F74" i="1"/>
  <c r="F70" i="1"/>
  <c r="F69" i="1"/>
  <c r="F68" i="1"/>
  <c r="F65" i="1"/>
  <c r="F64" i="1"/>
  <c r="F63" i="1"/>
  <c r="F62" i="1"/>
  <c r="F59" i="1"/>
  <c r="D59" i="1"/>
  <c r="F58" i="1"/>
  <c r="F55" i="1"/>
  <c r="F54" i="1"/>
  <c r="D54" i="1"/>
  <c r="F53" i="1"/>
  <c r="D53" i="1"/>
  <c r="F52" i="1"/>
  <c r="D52" i="1"/>
  <c r="F51" i="1"/>
  <c r="D51" i="1"/>
  <c r="F50" i="1"/>
  <c r="D50" i="1"/>
  <c r="F49" i="1"/>
  <c r="D49" i="1"/>
  <c r="F48" i="1"/>
  <c r="D48" i="1"/>
  <c r="F47" i="1"/>
  <c r="D47" i="1"/>
  <c r="F46" i="1"/>
  <c r="D46" i="1"/>
  <c r="F45" i="1"/>
  <c r="D45" i="1"/>
  <c r="F44" i="1"/>
  <c r="D44" i="1"/>
  <c r="F43" i="1"/>
  <c r="D43" i="1"/>
  <c r="F42" i="1"/>
  <c r="D42" i="1"/>
  <c r="F41" i="1"/>
  <c r="D41" i="1"/>
  <c r="F40" i="1"/>
  <c r="D40" i="1"/>
  <c r="F39" i="1"/>
  <c r="D39" i="1"/>
  <c r="F38" i="1"/>
  <c r="D38" i="1"/>
  <c r="F37" i="1"/>
  <c r="D37" i="1"/>
  <c r="F36" i="1"/>
  <c r="D36" i="1"/>
  <c r="F35" i="1"/>
  <c r="D35" i="1"/>
  <c r="F34" i="1"/>
  <c r="D34" i="1"/>
  <c r="F33" i="1"/>
  <c r="D33" i="1"/>
  <c r="F32" i="1"/>
  <c r="D32" i="1"/>
  <c r="F31" i="1"/>
  <c r="D31" i="1"/>
  <c r="F30" i="1"/>
  <c r="D30" i="1"/>
  <c r="F29" i="1"/>
  <c r="D29" i="1"/>
  <c r="F28" i="1"/>
  <c r="D28" i="1"/>
  <c r="F27" i="1"/>
  <c r="D27" i="1"/>
  <c r="F26" i="1"/>
  <c r="D26" i="1"/>
  <c r="F25" i="1"/>
  <c r="D25" i="1"/>
  <c r="AE56" i="1" l="1"/>
  <c r="AC56" i="1"/>
</calcChain>
</file>

<file path=xl/sharedStrings.xml><?xml version="1.0" encoding="utf-8"?>
<sst xmlns="http://schemas.openxmlformats.org/spreadsheetml/2006/main" count="1503" uniqueCount="576">
  <si>
    <t>data_ID</t>
  </si>
  <si>
    <t>short_desc</t>
  </si>
  <si>
    <t>long_desc</t>
  </si>
  <si>
    <t>stage</t>
  </si>
  <si>
    <t>status</t>
  </si>
  <si>
    <t>vendor_type</t>
  </si>
  <si>
    <t>datatype</t>
  </si>
  <si>
    <t>asset_class</t>
  </si>
  <si>
    <t>region</t>
  </si>
  <si>
    <t>sub_region</t>
  </si>
  <si>
    <t>delivery_frequency</t>
  </si>
  <si>
    <t>delivery_lag</t>
  </si>
  <si>
    <t>vendor</t>
  </si>
  <si>
    <t>prod_date</t>
  </si>
  <si>
    <t>trial_date</t>
  </si>
  <si>
    <t>created_date</t>
  </si>
  <si>
    <t>end_date</t>
  </si>
  <si>
    <t>history_start</t>
  </si>
  <si>
    <t>coverage_details</t>
  </si>
  <si>
    <t>delivery_method</t>
  </si>
  <si>
    <t>sector</t>
  </si>
  <si>
    <t>contract_start</t>
  </si>
  <si>
    <t>contract_end</t>
  </si>
  <si>
    <t>term</t>
  </si>
  <si>
    <t>price_cap</t>
  </si>
  <si>
    <t>user</t>
  </si>
  <si>
    <t>alexandria_economic</t>
  </si>
  <si>
    <t>alexnadria_cmdty</t>
  </si>
  <si>
    <t>bbg_news</t>
  </si>
  <si>
    <t>consumeredge_payments</t>
  </si>
  <si>
    <t>linkup_jobs</t>
  </si>
  <si>
    <t>nieslen_iq</t>
  </si>
  <si>
    <t>apptopia</t>
  </si>
  <si>
    <t>barra_usfast</t>
  </si>
  <si>
    <t>markit_buyside_analytics</t>
  </si>
  <si>
    <t>Alexandria Economic News Sentiment</t>
  </si>
  <si>
    <t>Alexansdria Commodity News Sentiment</t>
  </si>
  <si>
    <t xml:space="preserve">Alexnadria's commodity news sentiment product offers analysis across 45+ commodity markets. Leveraging a partnership with the Dow Jones Institutional Newswire, they classify all commodity news and deliver a structured, granular data feed for systematic and quantitative strategies. This allows users to access real-time insights into market sentiment and trends. </t>
  </si>
  <si>
    <t>Trial</t>
  </si>
  <si>
    <t>Onboarded</t>
  </si>
  <si>
    <t>Vendor</t>
  </si>
  <si>
    <t>Sentiment, News</t>
  </si>
  <si>
    <t>Macro</t>
  </si>
  <si>
    <t>Macro, Commodity</t>
  </si>
  <si>
    <t>75 countries</t>
  </si>
  <si>
    <t>GLB</t>
  </si>
  <si>
    <t>Intraday</t>
  </si>
  <si>
    <t>Di</t>
  </si>
  <si>
    <t>Alexandria Technology</t>
  </si>
  <si>
    <t>FTP, API</t>
  </si>
  <si>
    <t>stav</t>
  </si>
  <si>
    <t xml:space="preserve">Alexandria's commodity news sentiment product offers analysis across 45+ commodity markets. Leveraging a partnership with the Dow Jones Institutional Newswire, they classify all commodity news and deliver a structured, granular data feed for systematic and quantitative strategies. This allows users to access real-time insights into market sentiment and trends. </t>
  </si>
  <si>
    <t>60 commodities</t>
  </si>
  <si>
    <t>bbg_economics</t>
  </si>
  <si>
    <t>linked_docs</t>
  </si>
  <si>
    <t>factset_transcripts</t>
  </si>
  <si>
    <t>visible_alpha</t>
  </si>
  <si>
    <t>Equity</t>
  </si>
  <si>
    <t>&gt;20K equities</t>
  </si>
  <si>
    <t>Bloomberg</t>
  </si>
  <si>
    <t>API</t>
  </si>
  <si>
    <t>Bloomberg textual news aggregates breaking news from 151 Bloomberg bureaus worldwide generating 10,000+ headlines and stories daily, plus other valuable third-party sources, including web and social media content. This information is paired with valuable metadata covering companies, topics and people.</t>
  </si>
  <si>
    <t>bbg_news_analytics</t>
  </si>
  <si>
    <t>Bloomberg news analytics delivers an informative second layer of processing for our industry-leading textual news feed at both the story and company levels. These analytics include sentiment analysis, novelty scores, readership heat, social velocity and more.</t>
  </si>
  <si>
    <t xml:space="preserve">Licensed </t>
  </si>
  <si>
    <t>fujia</t>
  </si>
  <si>
    <t>Bloomberg Event Driven Feeds (EDF) Textual News Headlines</t>
  </si>
  <si>
    <t>Bloomberg Event Driven Feeds (EDF) News Analytics</t>
  </si>
  <si>
    <t xml:space="preserve">Economic </t>
  </si>
  <si>
    <t>S3</t>
  </si>
  <si>
    <t>scout-datashare/bloombergCompanyMarketMovingNews/</t>
  </si>
  <si>
    <t>scout-datashare/bloombergCompanySentiment</t>
  </si>
  <si>
    <t>scout-datashare/EconomicReleasesAndSurveysPointInTime/</t>
  </si>
  <si>
    <t>Bloomberg global macroeconomic indicators (ECO) provides timely, accurate, and comprehensive global coverage for economic, central bank, and industry datasets. Includes Actuals and Surveys</t>
  </si>
  <si>
    <t>13K time series for consumer prices, national accounts, labor markets, housing markets and business conditions</t>
  </si>
  <si>
    <t>SimilarWeb Website Traffic and App Usage</t>
  </si>
  <si>
    <t>Website Traffic</t>
  </si>
  <si>
    <t>tbc</t>
  </si>
  <si>
    <t>USA</t>
  </si>
  <si>
    <t>nig-central-similar-web-data</t>
  </si>
  <si>
    <t>SimilarWeb</t>
  </si>
  <si>
    <t>Daily, Monthly</t>
  </si>
  <si>
    <t>D+3</t>
  </si>
  <si>
    <t>Consumer</t>
  </si>
  <si>
    <t>ConsumerEdge Transaction Daily Signal Quant</t>
  </si>
  <si>
    <t>ConsumerEdge</t>
  </si>
  <si>
    <t>Daily</t>
  </si>
  <si>
    <t>Payments</t>
  </si>
  <si>
    <t>Consumer Edge provides US credit and debit card transaction data from 93m cards. The data is sourced through a long-standing partnership with Affinity.  This company provides services to credit and debit card-issuing banks, facilitating loyalty reward schemes. Consumer Edge has tagged transaction volumes and values to 10k+ merchants and 700+ tickers.</t>
  </si>
  <si>
    <t>&gt;700 tickers</t>
  </si>
  <si>
    <t>D+4</t>
  </si>
  <si>
    <t>LinkUp Job Market Data</t>
  </si>
  <si>
    <t>LinkUp (acquired by GlobalData) offers labour market data by crawling job openings from 60k company websites in 195 countries daily. The dataset offers insights into hiring activity by company, industry and region.  The dataset also offers metrics for the number of job postings added/removed and labour demand volatility.</t>
  </si>
  <si>
    <t>Human Capital</t>
  </si>
  <si>
    <t>70K companies</t>
  </si>
  <si>
    <t>nig-central-linkup-data</t>
  </si>
  <si>
    <t>LinkUp</t>
  </si>
  <si>
    <t>dhananjay</t>
  </si>
  <si>
    <t>Nielsen IQ E-Receipt (Slice) Data</t>
  </si>
  <si>
    <t>D+1</t>
  </si>
  <si>
    <t>Nielsen</t>
  </si>
  <si>
    <t>nig-central-niq-data</t>
  </si>
  <si>
    <t>1740 entities, 927 public, 813 private</t>
  </si>
  <si>
    <t>Apptopia Mobile Performance Data</t>
  </si>
  <si>
    <t xml:space="preserve">Apptopia provides Mobile Performance Data on 7+ Million Apps mapped to 5000 publicly traded tickers: They accurately estimate the downloads, revenue, and usage performance of every ranked mobile app in the world. Insights include: cross app usage, churn, retention, new vs existing users, power vs causal, young vs old users. </t>
  </si>
  <si>
    <t>App Usage</t>
  </si>
  <si>
    <t>3,500 tickers (NA 1,427 | APAC 975 | EMEA 977 | LATAM 70)</t>
  </si>
  <si>
    <t>nig-central-apptopia-data</t>
  </si>
  <si>
    <t>DI</t>
  </si>
  <si>
    <t>Apptopia</t>
  </si>
  <si>
    <t>Barra (MSCI) US Total Market Equity (FAST) Model</t>
  </si>
  <si>
    <t>FTP</t>
  </si>
  <si>
    <t>Risk Model</t>
  </si>
  <si>
    <t>MSCI</t>
  </si>
  <si>
    <t>The models in the US Total Market Equity Model Suite are designed to provide insight across the investment process, ranging from portfolio construction and risk monitoring to trading</t>
  </si>
  <si>
    <t>20K tickers</t>
  </si>
  <si>
    <t>S&amp;P Global Securities Finance Buyside Analytics V4</t>
  </si>
  <si>
    <t>S&amp;P Global Market Intelligence Securities Finance captures stock loan trading information directly from the participants of the securities lending market. The transparency offered by this uniquely granular dataset provides an opportunity for analysis of stock lending patterns and consequential inferences of short-selling activity. This dataset also offers insight into stock loan inventory allowing clients to analyse institutional buying and selling. They have inventory from ~20,000 underlying funds, and as they increase and decrease stock available for lending, clients can understand which stocks, sectors and countries are witnessing the largest movements.</t>
  </si>
  <si>
    <t>Short Sale</t>
  </si>
  <si>
    <t>Lending</t>
  </si>
  <si>
    <t>S&amp;P</t>
  </si>
  <si>
    <t>FactSet Earnings Call Transcripts</t>
  </si>
  <si>
    <t>scout-datashare/factset_earning_calls_transcripts</t>
  </si>
  <si>
    <t>The FactSet Events and Transcripts DataFeed covers earnings calls for companies around the world, with coverage beginning in 2000 for events and 2003 for transcripts.</t>
  </si>
  <si>
    <t>Earnings, Transcripts</t>
  </si>
  <si>
    <t>40K companies</t>
  </si>
  <si>
    <t>FactSet</t>
  </si>
  <si>
    <t>Visible Alpha Consensus Estimates</t>
  </si>
  <si>
    <t>scout-datashare/visible_alpha</t>
  </si>
  <si>
    <t xml:space="preserve">Visible Alpha (now part of S&amp;P Global) was founded in 2017 by 12 banks to provide competitive sell-side models and consensus estimate data. Visible Alpha sources from a panel of 200+ sell-side brokers and delivers 200+ consensus line items for more than 7k companies globally. The dataset’s coverage includes most stocks listed on major US and European exchanges. </t>
  </si>
  <si>
    <t>Estimates</t>
  </si>
  <si>
    <t>Alpha Model</t>
  </si>
  <si>
    <t>MSCI FactorLab Data</t>
  </si>
  <si>
    <t xml:space="preserve"> MSCI FactorLab gives access to  new research-enhanced data sets for use cases ranging from alpha research to building custom risk factors. A total of 197+ factor descriptors are currently available in MSCI FactorLab. Some descriptors come in both derived and standardized values. Derived values are calculated from vendor inputs and standardized values are the z-score versions of the derived value.</t>
  </si>
  <si>
    <t>scout-datashare/msci_risk_factors</t>
  </si>
  <si>
    <t>nig-central-alexandria-data</t>
  </si>
  <si>
    <t>annual_cost</t>
  </si>
  <si>
    <t>notes</t>
  </si>
  <si>
    <t xml:space="preserve"> </t>
  </si>
  <si>
    <t>dhananjay, rafi</t>
  </si>
  <si>
    <t>smi_advertising</t>
  </si>
  <si>
    <t>Standard Media Index (Guideline) Advertising Revenue Data</t>
  </si>
  <si>
    <t>Guideline provides advertising revenue data at a company level, and advertising spend data at an industry level. It captures $100bn in annual spend and covers 2k+ companies. Data is published monthly with a two-week lag. The data is sourced from 12 media agencies (e.g. Publicis) responsible for placing ads on behalf of companies. Guideline receives their invoice data, which it aggregates against industries (spend) and advertising platforms (revenue). In return, the companies receive Guideline’s free data management and aggregation tools. Due to this sourcing methodology, Guideline only has visibility into third-party ad spend (not in-house ad spend).</t>
  </si>
  <si>
    <t>Fundamentals</t>
  </si>
  <si>
    <t>183 tickers</t>
  </si>
  <si>
    <t>TMT</t>
  </si>
  <si>
    <t>nig-central-guideline-data</t>
  </si>
  <si>
    <t>Monthly</t>
  </si>
  <si>
    <t>Guideline</t>
  </si>
  <si>
    <t>D+16</t>
  </si>
  <si>
    <t>genscape_oil_inventory</t>
  </si>
  <si>
    <t>sp_fundamentals</t>
  </si>
  <si>
    <t>sp_gics</t>
  </si>
  <si>
    <t>sp_base_data</t>
  </si>
  <si>
    <t>Genscape Oil &amp; Gas Data</t>
  </si>
  <si>
    <t>Fundamentals, Economic</t>
  </si>
  <si>
    <t>Energy</t>
  </si>
  <si>
    <t>scout-datashare/genscape-input</t>
  </si>
  <si>
    <t>Genscape (Wood Mackenzie)</t>
  </si>
  <si>
    <t>ibes</t>
  </si>
  <si>
    <t>IBES (Institutional Brokers' Estimate System) Estimates</t>
  </si>
  <si>
    <t xml:space="preserve">IBES (Institutional Brokers' Estimate System) estimates are financial forecasts compiled by Refinitiv (a subsidiary of LSEG) from approximately 1,200 brokers worldwide, offering consensus-based estimates and recommendations on company performance metrics like earnings per share (EPS), revenue, and price targets. These estimates are used by institutional investors and analysts for investment decisions and research, providing insights into market expectations. </t>
  </si>
  <si>
    <t>Production</t>
  </si>
  <si>
    <t>&gt;23K companies</t>
  </si>
  <si>
    <t>tbd</t>
  </si>
  <si>
    <t>Refinitiv</t>
  </si>
  <si>
    <t>final</t>
  </si>
  <si>
    <t>24 Month renewal term</t>
  </si>
  <si>
    <t>markit_buyside_analytics_intraday</t>
  </si>
  <si>
    <t>S&amp;P Global Securities Finance Buyside Analytics V4 (Intraday)</t>
  </si>
  <si>
    <t>The Securities Finance Buyside Intraday Data Feed provides more frequent updates throughout the course of the trading day. Intraday data is provided at the security level. Securities Finance has been working closely with their contributors to expand the frequency of data contributions to the Securities Finance dataset. Historically, Securities Finance Sellside contributors (Prime Brokers and Custodian Banks) submitted their trades on an end of day basis, but they have gradually been transitioning these clients to contribute throughout the course of the trading day.</t>
  </si>
  <si>
    <t>nig-central-his-markit-data/Backhistory</t>
  </si>
  <si>
    <t>CP+ Historical data</t>
  </si>
  <si>
    <t>CP+ Real-Time</t>
  </si>
  <si>
    <t>Trace Historical</t>
  </si>
  <si>
    <t>Trace Real-time</t>
  </si>
  <si>
    <t>Ratings (Real-Time + History)</t>
  </si>
  <si>
    <t>MSG1 Historical</t>
  </si>
  <si>
    <t>MSG1 Real-Time</t>
  </si>
  <si>
    <t>MarketAxess</t>
  </si>
  <si>
    <t>Solve</t>
  </si>
  <si>
    <t>Numerix</t>
  </si>
  <si>
    <t>marketaxess_cp_history</t>
  </si>
  <si>
    <t>marketaxess_cp_rt</t>
  </si>
  <si>
    <t>trace_history</t>
  </si>
  <si>
    <t>trace_rt</t>
  </si>
  <si>
    <t>valentino</t>
  </si>
  <si>
    <t>Used by Valentino and referred to as "Ref Data"</t>
  </si>
  <si>
    <t>sp_credit_ratings</t>
  </si>
  <si>
    <t>solve_msg1</t>
  </si>
  <si>
    <t>bbg_msg1</t>
  </si>
  <si>
    <t>numerix</t>
  </si>
  <si>
    <t>MarketAxess Corporate Bond Price History</t>
  </si>
  <si>
    <t xml:space="preserve">MarketAxess Corporate Bond Prices Real Time </t>
  </si>
  <si>
    <t>MarketAxess Trace Corporate Bond Price History</t>
  </si>
  <si>
    <t xml:space="preserve">MarketAxess Trace Corporate Bond Prices Real Time </t>
  </si>
  <si>
    <t>S&amp;P Corporate Credit Ratings Data</t>
  </si>
  <si>
    <t>SOLVE MSG1 Corporate Bond Pricing</t>
  </si>
  <si>
    <t>Bloomberg MSG1 Corporate Bond Pricing</t>
  </si>
  <si>
    <t>Numerix Fixed Income Sensitivity Data</t>
  </si>
  <si>
    <t>Pricing</t>
  </si>
  <si>
    <t>Ratings</t>
  </si>
  <si>
    <t>Fixed Income</t>
  </si>
  <si>
    <t>pricestats</t>
  </si>
  <si>
    <t>State Street PriceStats Daily Inflation Series</t>
  </si>
  <si>
    <t>State Street PriceStats daily inflation series represents high-frequency inflation and Purchasing Power Parity (PPP) indicators, derived from millions of products sold by online retailers</t>
  </si>
  <si>
    <t>State Street</t>
  </si>
  <si>
    <t xml:space="preserve">scout-datashare/PriceStats/Archive/ </t>
  </si>
  <si>
    <t>s3_location</t>
  </si>
  <si>
    <t>internal_location</t>
  </si>
  <si>
    <t>/mnt/daas/more_data_deliveries/PriceStats</t>
  </si>
  <si>
    <t xml:space="preserve">Production </t>
  </si>
  <si>
    <t>hanweck_greeks</t>
  </si>
  <si>
    <t>Greeks for US options (inc. SPXW)</t>
  </si>
  <si>
    <t>Options</t>
  </si>
  <si>
    <t>/mnt/daas/more_data_deliveries/greeks/release/</t>
  </si>
  <si>
    <t>Hanweck</t>
  </si>
  <si>
    <t>1/1/20</t>
  </si>
  <si>
    <t>refinitiv_indices</t>
  </si>
  <si>
    <t>80 global major stock indices</t>
  </si>
  <si>
    <t>Indices</t>
  </si>
  <si>
    <t>/mnt/daas/more_data_deliveries/reuters-indexes/global/</t>
  </si>
  <si>
    <t>1/1/5</t>
  </si>
  <si>
    <t>refinitiv_nse</t>
  </si>
  <si>
    <t>80 sector indices from the NSE stock exchange</t>
  </si>
  <si>
    <t>India</t>
  </si>
  <si>
    <t>/mnt/daas/more_data_deliveries/reuters-indexes/nse_index/v2</t>
  </si>
  <si>
    <t>1/1/17</t>
  </si>
  <si>
    <t>opra_put_call</t>
  </si>
  <si>
    <t>Call Put Parity index calculated internally from the top 80 single stock options and for SPY and QQQ ETF options - output is the Stock/ETF price</t>
  </si>
  <si>
    <t>Pricing, Options</t>
  </si>
  <si>
    <t>/mnt/daas/more_data_deliveries/syn_indices/cpp/opra/release</t>
  </si>
  <si>
    <t>Internal</t>
  </si>
  <si>
    <t>cme_put_call</t>
  </si>
  <si>
    <t>Call Put Parity index calculated internally from CME options - output is the MiniSP synthetic price</t>
  </si>
  <si>
    <t>Options, Futures</t>
  </si>
  <si>
    <t>/mnt/daas/more_data_deliveries/syn_indices/cpp/cme/release</t>
  </si>
  <si>
    <t>cboe_put_call</t>
  </si>
  <si>
    <t>Call Put Parity index calculated internally from CBOE SPX options - output is the S&amp;P 500 index synthetic price</t>
  </si>
  <si>
    <t>clob_ice</t>
  </si>
  <si>
    <t>ICE Order Book</t>
  </si>
  <si>
    <t>Full order book provided in two formats: 1. L3 data 2. MBP with full depth</t>
  </si>
  <si>
    <t>Futures</t>
  </si>
  <si>
    <t>/mnt/daas/more_data_deliveries/ice/release</t>
  </si>
  <si>
    <t>ICE</t>
  </si>
  <si>
    <t>1/1/19</t>
  </si>
  <si>
    <t>clob_cboe</t>
  </si>
  <si>
    <t>CBOE Order Book</t>
  </si>
  <si>
    <t>/mnt/daas/more_data_deliveries/cboe/cfe/release</t>
  </si>
  <si>
    <t>CBOE</t>
  </si>
  <si>
    <t>clob_inet</t>
  </si>
  <si>
    <t>INET Order Book</t>
  </si>
  <si>
    <t>/mnt/daas/more_data_sync/inet_ob</t>
  </si>
  <si>
    <t>Nasdaq</t>
  </si>
  <si>
    <t>clob_cme</t>
  </si>
  <si>
    <t>CME Order Book</t>
  </si>
  <si>
    <t>/mnt/daas/more_data_sync/cme-ob/release_v3</t>
  </si>
  <si>
    <t>CME</t>
  </si>
  <si>
    <t>1/1/18</t>
  </si>
  <si>
    <t>clob_eurex</t>
  </si>
  <si>
    <t>Eurex Order Book</t>
  </si>
  <si>
    <t>EUR</t>
  </si>
  <si>
    <t>/mnt/daas/more_data_sync/eurex/release2</t>
  </si>
  <si>
    <t>Eurex</t>
  </si>
  <si>
    <t>1/1/14</t>
  </si>
  <si>
    <t>clob_hkfe</t>
  </si>
  <si>
    <t>HKFE Order Book</t>
  </si>
  <si>
    <t>ASI</t>
  </si>
  <si>
    <t>Hong Kong</t>
  </si>
  <si>
    <t>/mnt/daas/more_data_deliveries/hkfe-ob/1.0.0</t>
  </si>
  <si>
    <t>HKFE</t>
  </si>
  <si>
    <t>1/1/15</t>
  </si>
  <si>
    <t>clob_bmf</t>
  </si>
  <si>
    <t>BMF Order Book</t>
  </si>
  <si>
    <t>AMR</t>
  </si>
  <si>
    <t>Brazil</t>
  </si>
  <si>
    <t>/mnt/daas/more_data_deliveries/bmf</t>
  </si>
  <si>
    <t>MBOCHIP</t>
  </si>
  <si>
    <t>1/1/21</t>
  </si>
  <si>
    <t>clob_sgx</t>
  </si>
  <si>
    <t>SGX Order Book</t>
  </si>
  <si>
    <t>Singapore</t>
  </si>
  <si>
    <t>/mnt/daas/more_data_deliveries/sgx/release</t>
  </si>
  <si>
    <t>SGX</t>
  </si>
  <si>
    <t>clob_ose</t>
  </si>
  <si>
    <t>OSE Order Book</t>
  </si>
  <si>
    <t>JPN</t>
  </si>
  <si>
    <t>/mnt/daas/more_data_deliveries/ose/release</t>
  </si>
  <si>
    <t>OSE</t>
  </si>
  <si>
    <t>clob_mbp</t>
  </si>
  <si>
    <t>Crypto MBP</t>
  </si>
  <si>
    <t>MBP with full depth</t>
  </si>
  <si>
    <t>Crypto</t>
  </si>
  <si>
    <t>/mnt/daas/more_data_deliveries/crypto-ob/release</t>
  </si>
  <si>
    <t>Tardis</t>
  </si>
  <si>
    <t>cme_spreads_l2</t>
  </si>
  <si>
    <t>CME spreads futures - L2</t>
  </si>
  <si>
    <t>/mnt/daas/more_data_deliveries/cme-spreads/release</t>
  </si>
  <si>
    <t>bse_future_options_l2</t>
  </si>
  <si>
    <t>Futures and Options from the BSE exchange in India - L2</t>
  </si>
  <si>
    <t>/mnt/daas/more_data_deliveries/bse</t>
  </si>
  <si>
    <t>BSE</t>
  </si>
  <si>
    <t>1/1/24</t>
  </si>
  <si>
    <t>nse_future_options_l2</t>
  </si>
  <si>
    <t>High quality history (compared to low quality Final's historical data in NSE) - L2</t>
  </si>
  <si>
    <t>/mnt/daas/more_data_deliveries/nse</t>
  </si>
  <si>
    <t>NSE</t>
  </si>
  <si>
    <t>nse_stocks_l2</t>
  </si>
  <si>
    <t>NSE F&amp;O data (L2)</t>
  </si>
  <si>
    <t>/mnt/daas/more_data_sync/nse_stocks/1.2.0/clean_files/</t>
  </si>
  <si>
    <t/>
  </si>
  <si>
    <t>nse_single_stock_options_l2</t>
  </si>
  <si>
    <t>Single stock options data (L2)</t>
  </si>
  <si>
    <t>/mnt/daas/more_data_sync/nse_sso/1.0.0</t>
  </si>
  <si>
    <t>opra</t>
  </si>
  <si>
    <t>Options NBBO data of 680 single stock and ETF US options</t>
  </si>
  <si>
    <t>/mnt/daas/more_data_deliveries/opra_merged</t>
  </si>
  <si>
    <t>Active</t>
  </si>
  <si>
    <t>cboe_vix_spx</t>
  </si>
  <si>
    <t>VIX and SPX options data - BBO</t>
  </si>
  <si>
    <t>cboe_c1</t>
  </si>
  <si>
    <t>/mnt/daas/more_data_deliveries/cboe-c1/release</t>
  </si>
  <si>
    <t>futures_history</t>
  </si>
  <si>
    <t>Historical data for Final sampled Futures universe (500+ Future assets)</t>
  </si>
  <si>
    <t>/mnt/daas/more_data_sync/ap-futures-merged/2.0.0</t>
  </si>
  <si>
    <t>futures_open_int</t>
  </si>
  <si>
    <t>Open interest for the main futures</t>
  </si>
  <si>
    <t>NA</t>
  </si>
  <si>
    <t>CFTC</t>
  </si>
  <si>
    <t>cme_futures_all</t>
  </si>
  <si>
    <t>CME All Futures</t>
  </si>
  <si>
    <t>L2 Market data for all CME futures based on CME raw data (5 levels)</t>
  </si>
  <si>
    <t>/mnt/daas/more_data_deliveries/cme-all-futures/release</t>
  </si>
  <si>
    <t>ice_spreads_all</t>
  </si>
  <si>
    <t>ICE spreads</t>
  </si>
  <si>
    <t>L2 Market data for all ICE spreads based on ICE raw data (5 levels)</t>
  </si>
  <si>
    <t>Commodity spreads</t>
  </si>
  <si>
    <t>/mnt/daas/more_data_deliveries/ice_spreads/release</t>
  </si>
  <si>
    <t>sip</t>
  </si>
  <si>
    <t>SIP</t>
  </si>
  <si>
    <t>gfex_futures</t>
  </si>
  <si>
    <t>GFEX</t>
  </si>
  <si>
    <t>Market data from Chinese GFEX exchange</t>
  </si>
  <si>
    <t>CHN</t>
  </si>
  <si>
    <t>ravenpack_macro</t>
  </si>
  <si>
    <t>News and events from organizations and influencers with sentiment</t>
  </si>
  <si>
    <t>News, Sentiment, Events</t>
  </si>
  <si>
    <t>/mnt/daas/more_data_deliveries/RavenpackNews</t>
  </si>
  <si>
    <t>Ravenpack</t>
  </si>
  <si>
    <t>Trail ended</t>
  </si>
  <si>
    <t>/mnt/daas/more_data_deliveries/EconomicReleasesAndSurveysPointInTime</t>
  </si>
  <si>
    <t>/mnt/daas/more_data_deliveries/ibes/20231207</t>
  </si>
  <si>
    <t>~150 factors/signals calculated from market and alternative data related to stocks</t>
  </si>
  <si>
    <t>/mnt/daas/more_data_deliveries/alphasignals/msci/factors/NewMapping</t>
  </si>
  <si>
    <t>sp_factors</t>
  </si>
  <si>
    <t>/mnt/daas/more_data_deliveries/alphasignals/spfactors_newmapping</t>
  </si>
  <si>
    <t>Trial ended</t>
  </si>
  <si>
    <t>ibes_guidance</t>
  </si>
  <si>
    <t>Complimentary data to IBES - the actuals guidance that the company report as part of their quarterly report</t>
  </si>
  <si>
    <t>/mnt/daas/more_data_deliveries/ibes/guidance</t>
  </si>
  <si>
    <t>/mnt/daas/more_data_sync/bloombergSentiment/release</t>
  </si>
  <si>
    <t>/mnt/daas/more_data_deliveries/short_interest</t>
  </si>
  <si>
    <t>similarweb</t>
  </si>
  <si>
    <t>nasdaq_eq</t>
  </si>
  <si>
    <t>Information about the quality of US company SEC reports and consistency with their guidance</t>
  </si>
  <si>
    <t>Alpha Model, Earnings, Fundamentals</t>
  </si>
  <si>
    <t>/mnt/daas/more_data_deliveries/nasdaq/new_mapping/EQR_NewMapping</t>
  </si>
  <si>
    <t>Quarterly</t>
  </si>
  <si>
    <t>NASDAQ</t>
  </si>
  <si>
    <t>nasdaq_fund_holdings</t>
  </si>
  <si>
    <t>Holdings</t>
  </si>
  <si>
    <t>/mnt/daas/more_data_deliveries/nasdaq/new_mapping/GFHoldings_NewMapping
/mnt/daas/more_data_deliveries/nasdaq/new_mapping/GFHoldingsActiveFunds_NewMapping
/mnt/daas/more_data_deliveries/nasdaq/new_mapping/GFHoldingsActiveFundsTransactions_NewMapping</t>
  </si>
  <si>
    <t>ravenpack_filings</t>
  </si>
  <si>
    <t>Filings, Events, Sentiment</t>
  </si>
  <si>
    <t>/mnt/daas/more_data_sync/ravenpack/release_v2</t>
  </si>
  <si>
    <t>RavenPack</t>
  </si>
  <si>
    <t>ravenpack_transcripts</t>
  </si>
  <si>
    <t>Events captured in the earning calls summary - earning calls happened after the SEC report release and include more information and Q&amp;As about the company performance</t>
  </si>
  <si>
    <t>Earnings, Events, Sentiment</t>
  </si>
  <si>
    <t>/mnt/daas/more_data_sync/ravenpack/transcripts/release</t>
  </si>
  <si>
    <t>argus_forecasts</t>
  </si>
  <si>
    <t>Price forecasts for commodity futures using proprietary model</t>
  </si>
  <si>
    <t>Price Forecasts</t>
  </si>
  <si>
    <t>Commodity Futures</t>
  </si>
  <si>
    <t>/mnt/daas/more_data_deliveries/argus-curves</t>
  </si>
  <si>
    <t>Argus</t>
  </si>
  <si>
    <t>argus_physical_prices</t>
  </si>
  <si>
    <t>aggregated price of commodities from the physical trading market</t>
  </si>
  <si>
    <t>refinitiv_weather</t>
  </si>
  <si>
    <t>Weather</t>
  </si>
  <si>
    <t>Commoditiy</t>
  </si>
  <si>
    <t>icis_forecasts</t>
  </si>
  <si>
    <t>aggregated price of commodities (natural gas) from the physical trading market</t>
  </si>
  <si>
    <t>ICIS</t>
  </si>
  <si>
    <t>wolfe_equity_factors</t>
  </si>
  <si>
    <t>Wolfe</t>
  </si>
  <si>
    <t>bbg_twitter</t>
  </si>
  <si>
    <t>Social Media</t>
  </si>
  <si>
    <t>tradeweb_prices</t>
  </si>
  <si>
    <t>aggregated price from various exchanges to give "better" price in time</t>
  </si>
  <si>
    <t>Tradeweb/Refinitiv</t>
  </si>
  <si>
    <t>ice_bond_prices</t>
  </si>
  <si>
    <t>/mnt/daas/more_data_deliveries/ice-cep/release2</t>
  </si>
  <si>
    <t>refinitiv_yc</t>
  </si>
  <si>
    <t>Hanweck Option Greeks</t>
  </si>
  <si>
    <t>Refinitiv Equity Index Pricing</t>
  </si>
  <si>
    <t>Refinitiv NSE index Data</t>
  </si>
  <si>
    <t>OPRA Call Put Parity Indices</t>
  </si>
  <si>
    <t>CME Call Put Parity Indices</t>
  </si>
  <si>
    <t>nig-central-ihs-markit-data</t>
  </si>
  <si>
    <t>sp_base_data_fi</t>
  </si>
  <si>
    <t>CBOE Call Put Parity Index</t>
  </si>
  <si>
    <t>CME Futures Spread Data</t>
  </si>
  <si>
    <t>National Stock Exchange Futures and Options Historical Data</t>
  </si>
  <si>
    <t xml:space="preserve">National Stock Exchange Futures and Options </t>
  </si>
  <si>
    <t>National Stock Exchange Single Stock Options</t>
  </si>
  <si>
    <t>OPRA Options</t>
  </si>
  <si>
    <t>CBOE Options</t>
  </si>
  <si>
    <t>Futures History for Final's Trading Universe</t>
  </si>
  <si>
    <t>Futures Open Interest</t>
  </si>
  <si>
    <t>Securities Information Processor (SIP) Data</t>
  </si>
  <si>
    <t>Guangzhou Futures Exchange (GFEX)</t>
  </si>
  <si>
    <t>Ravenpack Macro News Sentiment</t>
  </si>
  <si>
    <t>IBES Company Guidance</t>
  </si>
  <si>
    <t>S&amp;P Alpha Factor Library</t>
  </si>
  <si>
    <t>Nasdaq Equity Quality Earnings</t>
  </si>
  <si>
    <t>Naadaq Fund Holdings</t>
  </si>
  <si>
    <t>Ravenpack SEC Filings Sentiment</t>
  </si>
  <si>
    <t>Ravenpack Transcripts Sentiment</t>
  </si>
  <si>
    <t>Argus Commodity Physical Price Data</t>
  </si>
  <si>
    <t>Refinitiv Weather Data</t>
  </si>
  <si>
    <t>ICIS Price Forecasts</t>
  </si>
  <si>
    <t>Wolfe US Equity Factor Data</t>
  </si>
  <si>
    <t>Bloomberg Twitter Headlines</t>
  </si>
  <si>
    <t>Tradeweb Government Bond and Interest Rate Derivative Data</t>
  </si>
  <si>
    <t>Fixed Income, Derivatives</t>
  </si>
  <si>
    <t>ICE Continuous Evaluate Pricing Data</t>
  </si>
  <si>
    <t>Refinitiv Yield Curve Data</t>
  </si>
  <si>
    <t xml:space="preserve">SimilarWeb packs data on 100M+ websites, 8M apps across 210 industries, and 190 countries to monitor trends and surfaces timely &amp; actionable insights. This specific trial  includes US monthly and US daily </t>
  </si>
  <si>
    <t>Bloomberg Global Macro Economic Indicators (ECO)</t>
  </si>
  <si>
    <t>Sensitivities data</t>
  </si>
  <si>
    <t>Bombay Stock Exchage Futures and Options</t>
  </si>
  <si>
    <t>Hedge funds positions data - covered a unique pool of hedge funds partner with NASDAQ</t>
  </si>
  <si>
    <t>SEC filings event (pool of events defined by RavenPack) with a sentiment </t>
  </si>
  <si>
    <t>NielsenIQ (previously Rakuten Intelligence) offers US e-receipts derived from 2.8m panelists. The data is offered to clients in an aggregated and row-level format on a daily feed. The data is delivered before markets open (~8am ET), comprising the previous day and 4 hours of the current day. The data is collected from NielsenIQ’s subsidiary apps Unroll.Me, Shippity and Cleanfox. Users are incentivized to connect their email inboxes due to the app’s utility (e.g. tracking packages, removing junk mail).</t>
  </si>
  <si>
    <t>Twitter headlines (text) flows stock-influencers pool covered by Bloomberg</t>
  </si>
  <si>
    <t>/mnt/daas/more_data_deliveries/genscape-storage | /mnt/daas/more_data_deliveries/macwood_eia</t>
  </si>
  <si>
    <t>This dataset includes the following products from Genscape: ARA Gasoil and Jet Storage, New York Harbour Products Storage, Cushing Crude Storage, Mid Continent Pipelines and Global Oil Storage. It also includes inventory and storage report released weekly by the EIA</t>
  </si>
  <si>
    <t>ursa</t>
  </si>
  <si>
    <t>URSA Global Oil Inventory Data</t>
  </si>
  <si>
    <t>The dataset is focused exclusively on crude oil. The foundation for URSA's measurements is satellite imagery collected over floating roof tanks. The height of the lid inside the tank rises and falls depending on how much oil is inside the tank. The more oil that is inside the tanks, the higher the lid, and vice versa. The data includes Cushing and PADD3 locations</t>
  </si>
  <si>
    <t>Satellite</t>
  </si>
  <si>
    <t>scout-datashare/ursa</t>
  </si>
  <si>
    <t>Ursa</t>
  </si>
  <si>
    <t>Argus Possibility Curves</t>
  </si>
  <si>
    <t>TP-ICAP Interest Rate Derivative Package</t>
  </si>
  <si>
    <t>SwapsMonitor Trading Hours</t>
  </si>
  <si>
    <t>tpicap_ird</t>
  </si>
  <si>
    <t>swapsmonitor</t>
  </si>
  <si>
    <t>Licensed</t>
  </si>
  <si>
    <t>Calendar</t>
  </si>
  <si>
    <t>SwapsMonitor</t>
  </si>
  <si>
    <t>Paid for the history</t>
  </si>
  <si>
    <t>aggregated price from various exchanges to give "better" price in time. European and US cash bonds</t>
  </si>
  <si>
    <t>sp_estimates</t>
  </si>
  <si>
    <t>sp_index_data</t>
  </si>
  <si>
    <t>sp_market_data</t>
  </si>
  <si>
    <t>sp_kdfe</t>
  </si>
  <si>
    <t>sp_transactions</t>
  </si>
  <si>
    <t>sp_ownership</t>
  </si>
  <si>
    <t xml:space="preserve">The Base Files are the required foundation for all other S&amp;P Capital IQ data. The base files enable you to use all other S&amp;P Capital IQ data by associating companies, symbols, securities and other base objects across all S&amp;P Capital IQ data sets. The Base Files consist of: Foundation Files and   Additional Base Files. </t>
  </si>
  <si>
    <t>Security Master</t>
  </si>
  <si>
    <t>Equity, Fixed Income</t>
  </si>
  <si>
    <t>Snowflake</t>
  </si>
  <si>
    <t>S&amp;P Capital IQ Estimates Data</t>
  </si>
  <si>
    <t>S&amp;P Capital IQ Premium Financials</t>
  </si>
  <si>
    <t>S&amp;P Capital IQ Base and Market Data</t>
  </si>
  <si>
    <t>S&amp;P Capital IQ Base and Market Data For Fixed Income</t>
  </si>
  <si>
    <t>Estimates data is a transparent, high-quality, standardized database of global, real-time financial forecasting measures on upgrades/downgrades, target price revisions, market-moving news or significant developments for public companies worldwide, and estimates based on the projections, models, analysis, and research of analysts, brokers, and the companies themselves. Estimates are sourced from research reports, research contributors and news releases. Estimates data is available for financial institutions and investment firms, as well as government/regulatory organizations and retail web sites seeking high-quality, timely forecasting measures.</t>
  </si>
  <si>
    <t>S&amp;P Index Data</t>
  </si>
  <si>
    <t xml:space="preserve">The index data sets reflect all sectors of the U.S. and global equity markets. These data sets are designed for investors seeking to replicate the performance of the U.S. and/or global equity markets or to benchmark against a representative universe of tradable stocks. The following indices are delivered: Euronext, FTSE All-Share, FTSE All-World, FTSE Index Level, FTSE UK Index Series, Russell ICB Indices and Constituents, Russell US and Russell Microcap Indices, Russell US Premier, S&amp;P / ASX Indices, S&amp;P / TSX Indices, S&amp;P Completion Index, S&amp;P Europe 350, S&amp;P Global 1200. S&amp;P Total Market Index (TMI), S&amp;P U.S. Indices and Tokyo Price Index (TOPIX). </t>
  </si>
  <si>
    <t>Pricing, Corporate Actions</t>
  </si>
  <si>
    <t>Indices, Equity</t>
  </si>
  <si>
    <t>S&amp;P Capital IQ Global Instruments Cross Reference Service (GICRS)</t>
  </si>
  <si>
    <t>Equity, Fixed Income, Mutual Funds, Indices</t>
  </si>
  <si>
    <t>S&amp;P Global Market Intelligence’s Global Instruments Cross Reference Service offers industry leading cross-reference capabilities that allow you to see your entire exposure at the security and trading levels. Includes CUSIP &amp; ISIN data</t>
  </si>
  <si>
    <t>S&amp;P Capital IQ Market Data</t>
  </si>
  <si>
    <t>The S&amp;P Capital IQ Market Data set provides daily pricing history for equity securities and global data coverage. Pricing data includes open, close, high, low, volume, adjustment factor, shares outstanding, volume-weighted average price, and other data points. All pricing data is given in the traded currency and is split-adjusted.</t>
  </si>
  <si>
    <t>S&amp;P Key Developments Plus</t>
  </si>
  <si>
    <t xml:space="preserve">This dataset provides intraday delivery of structured summaries of material news and events that may affect the market value of securities.  This dataset offers a multitude of Key Development types including executive changes, mergers and acquisitions, changes in corporate guidance, delayed filings, and SEC inquiries from a vast array of news sources including press releases, regulatory filings, company websites, stock exchange websites, web mining, and call transcripts. </t>
  </si>
  <si>
    <t>Corporate Actions, Events</t>
  </si>
  <si>
    <t>S&amp;P Transactions Data</t>
  </si>
  <si>
    <t>The Transactions package provides summary data for all company transactions which S&amp;P Capital IQ collects, which includes: The Core package, Transactions M&amp;A, Transactions Offerings, and Transactions Rounds of Funding.</t>
  </si>
  <si>
    <t>S&amp;P Ownership Data</t>
  </si>
  <si>
    <t>Ownership offers detailed equity ownership data on public and private companies worldwide, comprising institutional investment firms, mutual funds, and insiders/individual owners. The data is sourced from a variety of filings, forms, websites and direct relationships to ensure thorough and comprehensive information.</t>
  </si>
  <si>
    <t>Equity, Fixed Income, Mutual Funds</t>
  </si>
  <si>
    <t xml:space="preserve"> /mnt/daas/more_data_deliveries/argus</t>
  </si>
  <si>
    <t xml:space="preserve"> /mnt/daas/tlogs</t>
  </si>
  <si>
    <t>/mnt/daas/financial_calendar</t>
  </si>
  <si>
    <t>=38,400/3</t>
  </si>
  <si>
    <t>9 Months</t>
  </si>
  <si>
    <t xml:space="preserve">We signed a production license on 9/15 for an additional $30K which is on top of the original $35K + $7K </t>
  </si>
  <si>
    <t>Yipit Edison E-receipt Data</t>
  </si>
  <si>
    <t>Edison (a faction of YipitData) is a consumer technology company that provides data on consumer purchasing behaviours. This is derived from anonymous e-receipts sourced through the group’s mobile application (Edison Mail).</t>
  </si>
  <si>
    <t>&gt;600 tickers</t>
  </si>
  <si>
    <t>D+2</t>
  </si>
  <si>
    <t>Yipit</t>
  </si>
  <si>
    <t>yipit_receipts</t>
  </si>
  <si>
    <t>scout-datashare/argus-input</t>
  </si>
  <si>
    <t>&gt;9.7K companies</t>
  </si>
  <si>
    <t>&gt;5K companies</t>
  </si>
  <si>
    <t>12 Months</t>
  </si>
  <si>
    <t>scout-datashare/yipit_data/</t>
  </si>
  <si>
    <t>2iq_insiders</t>
  </si>
  <si>
    <t>2IQ Insider Data and Model</t>
  </si>
  <si>
    <t xml:space="preserve">2IQ offers the most complete insider transactions historical data set in the industry that includes 8.1 million transactions by over 200,000 insiders. This also includes the insider ranking model which ranks companies based on insider sentiment to identify the transactions and insiders with the highest predictive strength, then delivers a trading signal in the form of a score which can be used as an input to the quantitative portfolio construction process.
</t>
  </si>
  <si>
    <t>Insiders, Alpha Model</t>
  </si>
  <si>
    <t>&gt;60K stocks</t>
  </si>
  <si>
    <t>nig-central-2iq-data</t>
  </si>
  <si>
    <t>2iQ</t>
  </si>
  <si>
    <t>Canada</t>
  </si>
  <si>
    <t>pit_date</t>
  </si>
  <si>
    <t>use_permissions</t>
  </si>
  <si>
    <t>enterprise</t>
  </si>
  <si>
    <t>per user</t>
  </si>
  <si>
    <t>=20,000/2</t>
  </si>
  <si>
    <t>placer</t>
  </si>
  <si>
    <t>Placer US Footfall Traffic Data</t>
  </si>
  <si>
    <t>Location</t>
  </si>
  <si>
    <t xml:space="preserve">Placer.ai provides footfall estimates across 13m US POIs, mapped against 1k+ private companies and ~470 tickers. The underlying data is mainly sourced from the mobile GPS pings of 30m devices. Key metrics include total visits, dwell time and share of market – available per individual facility and aggregated per ticker. Placer sources its data from 20 partner apps. It adjusts its actual panel observations using US census data to weight the panel in a more demographically representative way. As such, users do not receive Placer’s actual observed visits, but a modified estimate. </t>
  </si>
  <si>
    <t>470 tickers</t>
  </si>
  <si>
    <t>Consumer, Industrial</t>
  </si>
  <si>
    <t>nig-central-placer-data</t>
  </si>
  <si>
    <t>Placer AI</t>
  </si>
  <si>
    <t>s3</t>
  </si>
  <si>
    <t>https://docs.placer.ai/docs/premium-export</t>
  </si>
  <si>
    <t>n.a.</t>
  </si>
  <si>
    <t>initial term is 15 months</t>
  </si>
  <si>
    <t>TP-ICAP Interest Rate Derivative Package that includes: TULLETT SPOT &amp; FORWARDS FX and TP SITICO PRECIOUS METALS</t>
  </si>
  <si>
    <t>S&amp;P Capital IQ Base and Market Data For Fixed Income that includes corporate bonds in USD based on for those bonds priced within EVB (IG + HY)</t>
  </si>
  <si>
    <t>SwapsMonitor Trading Hours - S1 Data consists of a record of the status of every day during a 14 day period. It includes the following countries: Australia, Brazil, Germany, Japan, Malaysia, Russia, South Africa, United States (CBOT, CME, ICE Block and ICE Futures US)</t>
  </si>
  <si>
    <t>CPI</t>
  </si>
  <si>
    <t>The cost is from the original year of 2018</t>
  </si>
  <si>
    <t xml:space="preserve">CBOE C1 options with market depth: specifically this is the history for: Cboe U.S. Futures Multicast PITCH | Cboe U.S. Options Multicast PITCH
 </t>
  </si>
  <si>
    <t>speech_craft</t>
  </si>
  <si>
    <t>Speech Craft Analytics Vocal Biometrics Data</t>
  </si>
  <si>
    <t>The Speech Craft Analytics Vocal Biometrics data set contains 18 audio and 14 linguistic features at the sentence level for company earnings calls. The data is enhanced with meta data, and Audio, Linguistic and Composite scores, probability of confidence, nervous, neutral, a PCA feature, and Arousal, Valence and Uncertainty scores.</t>
  </si>
  <si>
    <t>sub_datatype</t>
  </si>
  <si>
    <t>NLP</t>
  </si>
  <si>
    <t>Alpha Model, Sentiment, Earnings</t>
  </si>
  <si>
    <t>Russell 3K</t>
  </si>
  <si>
    <t>nig-central-speechcraft-data</t>
  </si>
  <si>
    <t>SpeechCraft</t>
  </si>
  <si>
    <t>nig-central-consume-edge-data</t>
  </si>
  <si>
    <t>=23,750/4</t>
  </si>
  <si>
    <t>Decommissioned</t>
  </si>
  <si>
    <t>barra_factorlab</t>
  </si>
  <si>
    <t>final,rafi</t>
  </si>
  <si>
    <t>nig-central-barra-risk-factors-data | scout-datashare/msci_risk_factors</t>
  </si>
  <si>
    <t>xtech_equity_flow</t>
  </si>
  <si>
    <t>xtech_futures_flow</t>
  </si>
  <si>
    <t>XTech Flow - US Equity Flow Analytics – Indigo Panther</t>
  </si>
  <si>
    <t>Based on the US Consolidated Feed trades this analytic applies deep high frequency trading knowledge of US EQUITY market microstructure to identify the direction of active risk taking by institutional buy-side, market makers and retail traders. This trading activity leaks information into the markets through their
measurable trading behavior which we characterize with this dataset. The Indigo Panther dataset identifies buying and selling activity for both institutional and retail trader. The direction of the active risk takers is determined using multiple proprietary inference methods. The resulting trading flows of the active traders are aggregated on a minutely basis which is an ideal dataset to begin developing institutional investment strategies ranging from holding periods of minutes to months. Advanced versions of this product are available and provide aggregations by trader type (Fund, Retail) and exchange.</t>
  </si>
  <si>
    <t>Trading Flow</t>
  </si>
  <si>
    <t>All US listed stocks</t>
  </si>
  <si>
    <t>nig-central-data-xtech</t>
  </si>
  <si>
    <t>Xtech (Exponential Technology)</t>
  </si>
  <si>
    <t>XTech Apollo Flow™ - Green Buffalo - Global Futures Flow Analytics</t>
  </si>
  <si>
    <t>XTech Apollo Flow™ provides unparalleled insights into global futures trading flows, aggregated by investor type. This dataset decipher’s the complex trading behaviors and active risk-taking by institutional buy-side, market makers, natural hedgers, and retail futures traders. By analyzing these trading behaviors on public futures markets and recomposing them by investor type, product and trading style, XTech Apollo Flow™ offers valuable market insights characterized through measurable trading behavior. This data analytic is similar to the CFTC Commitment Of Traders Report, but is offered on a daily basis rather than only on Fridays based on date from End-of-day Tuesday. The direction and style of active risk-takers is identified using proprietary methods, and the resulting trading flows are aggregated daily. This dataset is ideal for developing institutional investment strategies with holding periods ranging from next-day intraday to several months.</t>
  </si>
  <si>
    <t>Top 100-300 Global Futures Products (All Expiries)</t>
  </si>
  <si>
    <t>nig-central-data-xtech/indigo-panther</t>
  </si>
  <si>
    <t>24 Months</t>
  </si>
  <si>
    <t>Year 1 is $54,120 and Year 2 is $108,240, Term is 27 months (24 months + 3 month implementation)</t>
  </si>
  <si>
    <t>final, fujia</t>
  </si>
  <si>
    <t>=255000/2;  $65,671.23 per quarter</t>
  </si>
  <si>
    <t>$50K, and then 30$K for Israel affiliates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</si>
</sst>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2"/>
      <color theme="1"/>
      <name val="Aptos Narrow"/>
      <family val="2"/>
      <scheme val="minor"/>
    </font>
    <font>
      <sz val="12"/>
      <color rgb="FF000000"/>
      <name val="Aptos Narrow"/>
      <family val="2"/>
      <scheme val="minor"/>
    </font>
    <font>
      <sz val="11"/>
      <name val="Aptos Narrow"/>
      <family val="2"/>
    </font>
    <font>
      <sz val="11"/>
      <color rgb="FF000000"/>
      <name val="Aptos Narrow"/>
      <family val="2"/>
    </font>
    <font>
      <sz val="11"/>
      <color rgb="FF000000"/>
      <name val="Aptos Narrow"/>
      <family val="2"/>
      <scheme val="minor"/>
    </font>
    <font>
      <u/>
      <sz val="12"/>
      <color theme="10"/>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14" fontId="0" fillId="0" borderId="0" xfId="0" applyNumberFormat="1"/>
    <xf numFmtId="14" fontId="1" fillId="0" borderId="0" xfId="0" applyNumberFormat="1" applyFont="1"/>
    <xf numFmtId="0" fontId="2" fillId="0" borderId="0" xfId="0" applyFont="1"/>
    <xf numFmtId="0" fontId="3" fillId="0" borderId="0" xfId="0" applyFont="1"/>
    <xf numFmtId="0" fontId="4" fillId="0" borderId="0" xfId="0" applyFont="1"/>
    <xf numFmtId="0" fontId="0" fillId="0" borderId="0" xfId="0" applyAlignment="1">
      <alignment wrapText="1"/>
    </xf>
    <xf numFmtId="10" fontId="0" fillId="0" borderId="0" xfId="0" applyNumberFormat="1"/>
    <xf numFmtId="0" fontId="0" fillId="0" borderId="0" xfId="0" quotePrefix="1"/>
    <xf numFmtId="0" fontId="0" fillId="0" borderId="1" xfId="0" applyBorder="1"/>
    <xf numFmtId="0" fontId="0" fillId="0" borderId="1" xfId="0" applyBorder="1" applyAlignment="1">
      <alignment wrapText="1"/>
    </xf>
    <xf numFmtId="14" fontId="0" fillId="0" borderId="1" xfId="0" applyNumberFormat="1" applyBorder="1"/>
    <xf numFmtId="0" fontId="5" fillId="0" borderId="0" xfId="1"/>
    <xf numFmtId="0" fontId="1" fillId="0" borderId="0" xfId="0" applyFont="1"/>
    <xf numFmtId="164" fontId="0" fillId="0" borderId="0" xfId="0" applyNumberFormat="1"/>
    <xf numFmtId="164"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placer.ai/docs/premium-ex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898F0-5957-604D-B6F9-195E7D4FDE81}">
  <dimension ref="A1:AH94"/>
  <sheetViews>
    <sheetView tabSelected="1" zoomScale="125" workbookViewId="0">
      <pane xSplit="1" topLeftCell="P1" activePane="topRight" state="frozen"/>
      <selection pane="topRight" activeCell="P7" sqref="P7"/>
    </sheetView>
  </sheetViews>
  <sheetFormatPr baseColWidth="10" defaultRowHeight="16" x14ac:dyDescent="0.2"/>
  <cols>
    <col min="1" max="1" width="29.6640625" customWidth="1"/>
    <col min="2" max="2" width="49.33203125" customWidth="1"/>
    <col min="3" max="3" width="65.83203125" customWidth="1"/>
    <col min="5" max="5" width="15.1640625" bestFit="1" customWidth="1"/>
    <col min="7" max="7" width="15" bestFit="1" customWidth="1"/>
    <col min="8" max="8" width="15" customWidth="1"/>
    <col min="10" max="10" width="14.83203125" bestFit="1" customWidth="1"/>
    <col min="11" max="11" width="14.83203125" customWidth="1"/>
    <col min="14" max="14" width="49.5" bestFit="1" customWidth="1"/>
    <col min="15" max="15" width="49.5" customWidth="1"/>
    <col min="16" max="16" width="16.5" bestFit="1" customWidth="1"/>
    <col min="18" max="18" width="19.6640625" customWidth="1"/>
    <col min="25" max="25" width="14.5" bestFit="1" customWidth="1"/>
    <col min="26" max="26" width="14.5" customWidth="1"/>
    <col min="28" max="28" width="17.83203125" customWidth="1"/>
    <col min="29" max="29" width="18.83203125" customWidth="1"/>
    <col min="31" max="31" width="10.83203125" style="14"/>
  </cols>
  <sheetData>
    <row r="1" spans="1:34" ht="15" customHeight="1" x14ac:dyDescent="0.2">
      <c r="A1" t="s">
        <v>0</v>
      </c>
      <c r="B1" t="s">
        <v>1</v>
      </c>
      <c r="C1" t="s">
        <v>2</v>
      </c>
      <c r="D1" t="s">
        <v>3</v>
      </c>
      <c r="E1" t="s">
        <v>4</v>
      </c>
      <c r="F1" t="s">
        <v>5</v>
      </c>
      <c r="G1" t="s">
        <v>6</v>
      </c>
      <c r="H1" t="s">
        <v>547</v>
      </c>
      <c r="I1" t="s">
        <v>7</v>
      </c>
      <c r="J1" t="s">
        <v>18</v>
      </c>
      <c r="K1" t="s">
        <v>20</v>
      </c>
      <c r="L1" t="s">
        <v>8</v>
      </c>
      <c r="M1" t="s">
        <v>9</v>
      </c>
      <c r="N1" t="s">
        <v>208</v>
      </c>
      <c r="O1" t="s">
        <v>209</v>
      </c>
      <c r="P1" t="s">
        <v>10</v>
      </c>
      <c r="Q1" t="s">
        <v>11</v>
      </c>
      <c r="R1" t="s">
        <v>12</v>
      </c>
      <c r="S1" t="s">
        <v>13</v>
      </c>
      <c r="T1" t="s">
        <v>14</v>
      </c>
      <c r="U1" t="s">
        <v>15</v>
      </c>
      <c r="V1" t="s">
        <v>16</v>
      </c>
      <c r="W1" t="s">
        <v>521</v>
      </c>
      <c r="X1" t="s">
        <v>17</v>
      </c>
      <c r="Y1" t="s">
        <v>19</v>
      </c>
      <c r="Z1" t="s">
        <v>54</v>
      </c>
      <c r="AA1" t="s">
        <v>25</v>
      </c>
      <c r="AB1" t="s">
        <v>21</v>
      </c>
      <c r="AC1" t="s">
        <v>22</v>
      </c>
      <c r="AD1" t="s">
        <v>23</v>
      </c>
      <c r="AE1" s="14" t="s">
        <v>136</v>
      </c>
      <c r="AF1" t="s">
        <v>24</v>
      </c>
      <c r="AG1" t="s">
        <v>522</v>
      </c>
      <c r="AH1" t="s">
        <v>137</v>
      </c>
    </row>
    <row r="2" spans="1:34" ht="15" customHeight="1" x14ac:dyDescent="0.2">
      <c r="A2" t="s">
        <v>26</v>
      </c>
      <c r="B2" t="s">
        <v>35</v>
      </c>
      <c r="C2" t="s">
        <v>37</v>
      </c>
      <c r="D2" t="s">
        <v>38</v>
      </c>
      <c r="E2" t="s">
        <v>39</v>
      </c>
      <c r="F2" t="s">
        <v>40</v>
      </c>
      <c r="G2" t="s">
        <v>41</v>
      </c>
      <c r="I2" t="s">
        <v>42</v>
      </c>
      <c r="J2" t="s">
        <v>44</v>
      </c>
      <c r="L2" t="s">
        <v>45</v>
      </c>
      <c r="N2" t="s">
        <v>135</v>
      </c>
      <c r="P2" t="s">
        <v>46</v>
      </c>
      <c r="Q2" t="s">
        <v>47</v>
      </c>
      <c r="R2" t="s">
        <v>48</v>
      </c>
      <c r="T2" s="1">
        <v>45888</v>
      </c>
      <c r="U2" s="1">
        <v>45888</v>
      </c>
      <c r="X2" s="1">
        <v>40909</v>
      </c>
      <c r="Y2" t="s">
        <v>49</v>
      </c>
      <c r="AA2" t="s">
        <v>50</v>
      </c>
    </row>
    <row r="3" spans="1:34" ht="15" customHeight="1" x14ac:dyDescent="0.2">
      <c r="A3" t="s">
        <v>27</v>
      </c>
      <c r="B3" t="s">
        <v>36</v>
      </c>
      <c r="C3" t="s">
        <v>51</v>
      </c>
      <c r="D3" t="s">
        <v>38</v>
      </c>
      <c r="E3" t="s">
        <v>39</v>
      </c>
      <c r="F3" t="s">
        <v>40</v>
      </c>
      <c r="G3" t="s">
        <v>41</v>
      </c>
      <c r="I3" t="s">
        <v>43</v>
      </c>
      <c r="J3" t="s">
        <v>52</v>
      </c>
      <c r="L3" t="s">
        <v>45</v>
      </c>
      <c r="N3" t="s">
        <v>135</v>
      </c>
      <c r="P3" t="s">
        <v>46</v>
      </c>
      <c r="Q3" t="s">
        <v>47</v>
      </c>
      <c r="R3" t="s">
        <v>48</v>
      </c>
      <c r="T3" s="1">
        <v>45888</v>
      </c>
      <c r="U3" s="1">
        <v>45888</v>
      </c>
      <c r="X3" s="1">
        <v>40909</v>
      </c>
      <c r="Y3" t="s">
        <v>49</v>
      </c>
      <c r="AA3" t="s">
        <v>50</v>
      </c>
    </row>
    <row r="4" spans="1:34" ht="15" customHeight="1" x14ac:dyDescent="0.2">
      <c r="A4" t="s">
        <v>32</v>
      </c>
      <c r="B4" t="s">
        <v>103</v>
      </c>
      <c r="C4" t="s">
        <v>104</v>
      </c>
      <c r="D4" t="s">
        <v>38</v>
      </c>
      <c r="E4" t="s">
        <v>39</v>
      </c>
      <c r="F4" t="s">
        <v>40</v>
      </c>
      <c r="G4" t="s">
        <v>105</v>
      </c>
      <c r="I4" t="s">
        <v>57</v>
      </c>
      <c r="J4" t="s">
        <v>106</v>
      </c>
      <c r="L4" t="s">
        <v>45</v>
      </c>
      <c r="N4" t="s">
        <v>107</v>
      </c>
      <c r="P4" t="s">
        <v>46</v>
      </c>
      <c r="Q4" t="s">
        <v>108</v>
      </c>
      <c r="R4" t="s">
        <v>109</v>
      </c>
      <c r="T4" s="1">
        <v>45806</v>
      </c>
      <c r="U4" s="1">
        <v>45806</v>
      </c>
      <c r="X4" s="1">
        <v>42370</v>
      </c>
      <c r="Y4" t="s">
        <v>69</v>
      </c>
      <c r="AA4" t="s">
        <v>97</v>
      </c>
    </row>
    <row r="5" spans="1:34" ht="15" customHeight="1" x14ac:dyDescent="0.2">
      <c r="A5" t="s">
        <v>33</v>
      </c>
      <c r="B5" t="s">
        <v>110</v>
      </c>
      <c r="C5" t="s">
        <v>114</v>
      </c>
      <c r="D5" t="s">
        <v>64</v>
      </c>
      <c r="E5" t="s">
        <v>162</v>
      </c>
      <c r="F5" t="s">
        <v>40</v>
      </c>
      <c r="G5" t="s">
        <v>112</v>
      </c>
      <c r="I5" t="s">
        <v>57</v>
      </c>
      <c r="J5" t="s">
        <v>115</v>
      </c>
      <c r="L5" t="s">
        <v>78</v>
      </c>
      <c r="N5" t="s">
        <v>558</v>
      </c>
      <c r="P5" t="s">
        <v>86</v>
      </c>
      <c r="Q5" t="s">
        <v>99</v>
      </c>
      <c r="R5" t="s">
        <v>113</v>
      </c>
      <c r="S5" s="1">
        <v>45642</v>
      </c>
      <c r="T5" s="1">
        <v>45867</v>
      </c>
      <c r="U5" s="1">
        <v>45867</v>
      </c>
      <c r="X5" s="1">
        <v>34880</v>
      </c>
      <c r="Y5" t="s">
        <v>111</v>
      </c>
      <c r="AA5" t="s">
        <v>557</v>
      </c>
      <c r="AB5" s="1">
        <v>46023</v>
      </c>
      <c r="AC5" s="1">
        <v>46295</v>
      </c>
      <c r="AD5" t="s">
        <v>511</v>
      </c>
      <c r="AE5" s="14">
        <v>127500</v>
      </c>
      <c r="AG5" t="s">
        <v>523</v>
      </c>
      <c r="AH5" s="8" t="s">
        <v>574</v>
      </c>
    </row>
    <row r="6" spans="1:34" ht="15" customHeight="1" x14ac:dyDescent="0.2">
      <c r="A6" t="s">
        <v>53</v>
      </c>
      <c r="B6" t="s">
        <v>439</v>
      </c>
      <c r="C6" t="s">
        <v>73</v>
      </c>
      <c r="D6" t="s">
        <v>38</v>
      </c>
      <c r="E6" t="s">
        <v>39</v>
      </c>
      <c r="F6" t="s">
        <v>40</v>
      </c>
      <c r="G6" t="s">
        <v>68</v>
      </c>
      <c r="I6" t="s">
        <v>42</v>
      </c>
      <c r="J6" t="s">
        <v>74</v>
      </c>
      <c r="L6" t="s">
        <v>45</v>
      </c>
      <c r="N6" t="s">
        <v>72</v>
      </c>
      <c r="O6" t="s">
        <v>350</v>
      </c>
      <c r="P6" t="s">
        <v>46</v>
      </c>
      <c r="Q6" t="s">
        <v>47</v>
      </c>
      <c r="R6" t="s">
        <v>59</v>
      </c>
      <c r="T6" s="1">
        <v>45819</v>
      </c>
      <c r="U6" s="1">
        <v>45819</v>
      </c>
      <c r="X6" s="1">
        <v>35431</v>
      </c>
      <c r="Y6" t="s">
        <v>60</v>
      </c>
      <c r="AA6" t="s">
        <v>50</v>
      </c>
    </row>
    <row r="7" spans="1:34" ht="15" customHeight="1" x14ac:dyDescent="0.2">
      <c r="A7" t="s">
        <v>28</v>
      </c>
      <c r="B7" t="s">
        <v>66</v>
      </c>
      <c r="C7" t="s">
        <v>61</v>
      </c>
      <c r="D7" t="s">
        <v>38</v>
      </c>
      <c r="E7" t="s">
        <v>39</v>
      </c>
      <c r="F7" t="s">
        <v>40</v>
      </c>
      <c r="G7" t="s">
        <v>41</v>
      </c>
      <c r="I7" t="s">
        <v>57</v>
      </c>
      <c r="J7" t="s">
        <v>58</v>
      </c>
      <c r="L7" t="s">
        <v>45</v>
      </c>
      <c r="N7" t="s">
        <v>70</v>
      </c>
      <c r="P7" t="s">
        <v>46</v>
      </c>
      <c r="Q7" t="s">
        <v>47</v>
      </c>
      <c r="R7" t="s">
        <v>59</v>
      </c>
      <c r="T7" s="1">
        <v>45841</v>
      </c>
      <c r="U7" s="1">
        <v>45841</v>
      </c>
      <c r="X7" s="1">
        <v>44906</v>
      </c>
      <c r="Y7" t="s">
        <v>60</v>
      </c>
    </row>
    <row r="8" spans="1:34" ht="15" customHeight="1" x14ac:dyDescent="0.2">
      <c r="A8" t="s">
        <v>62</v>
      </c>
      <c r="B8" t="s">
        <v>67</v>
      </c>
      <c r="C8" t="s">
        <v>63</v>
      </c>
      <c r="D8" t="s">
        <v>38</v>
      </c>
      <c r="E8" t="s">
        <v>39</v>
      </c>
      <c r="F8" t="s">
        <v>40</v>
      </c>
      <c r="G8" t="s">
        <v>41</v>
      </c>
      <c r="I8" t="s">
        <v>57</v>
      </c>
      <c r="J8" t="s">
        <v>58</v>
      </c>
      <c r="L8" t="s">
        <v>45</v>
      </c>
      <c r="N8" t="s">
        <v>71</v>
      </c>
      <c r="O8" t="s">
        <v>360</v>
      </c>
      <c r="P8" t="s">
        <v>46</v>
      </c>
      <c r="Q8" t="s">
        <v>47</v>
      </c>
      <c r="R8" t="s">
        <v>59</v>
      </c>
      <c r="T8" s="1">
        <v>45841</v>
      </c>
      <c r="U8" s="1">
        <v>45841</v>
      </c>
      <c r="X8" s="1">
        <v>43126</v>
      </c>
      <c r="Y8" t="s">
        <v>60</v>
      </c>
    </row>
    <row r="9" spans="1:34" ht="15" customHeight="1" x14ac:dyDescent="0.2">
      <c r="A9" t="s">
        <v>29</v>
      </c>
      <c r="B9" t="s">
        <v>84</v>
      </c>
      <c r="C9" t="s">
        <v>88</v>
      </c>
      <c r="D9" t="s">
        <v>459</v>
      </c>
      <c r="E9" t="s">
        <v>39</v>
      </c>
      <c r="F9" t="s">
        <v>40</v>
      </c>
      <c r="G9" t="s">
        <v>87</v>
      </c>
      <c r="I9" t="s">
        <v>57</v>
      </c>
      <c r="J9" t="s">
        <v>89</v>
      </c>
      <c r="K9" t="s">
        <v>83</v>
      </c>
      <c r="L9" t="s">
        <v>78</v>
      </c>
      <c r="N9" t="s">
        <v>553</v>
      </c>
      <c r="P9" t="s">
        <v>86</v>
      </c>
      <c r="Q9" t="s">
        <v>90</v>
      </c>
      <c r="R9" t="s">
        <v>85</v>
      </c>
      <c r="S9" s="1">
        <v>45930</v>
      </c>
      <c r="T9" s="1">
        <v>45852</v>
      </c>
      <c r="U9" s="1">
        <v>45852</v>
      </c>
      <c r="X9" s="1">
        <v>42226</v>
      </c>
      <c r="Y9" t="s">
        <v>69</v>
      </c>
      <c r="AA9" t="s">
        <v>65</v>
      </c>
      <c r="AB9" s="1">
        <v>45930</v>
      </c>
      <c r="AC9" s="1">
        <v>46294</v>
      </c>
      <c r="AD9" t="s">
        <v>511</v>
      </c>
      <c r="AE9" s="14">
        <v>135000</v>
      </c>
      <c r="AG9" t="s">
        <v>523</v>
      </c>
    </row>
    <row r="10" spans="1:34" ht="15" customHeight="1" x14ac:dyDescent="0.2">
      <c r="A10" t="s">
        <v>140</v>
      </c>
      <c r="B10" t="s">
        <v>141</v>
      </c>
      <c r="C10" t="s">
        <v>142</v>
      </c>
      <c r="D10" t="s">
        <v>38</v>
      </c>
      <c r="E10" t="s">
        <v>39</v>
      </c>
      <c r="F10" t="s">
        <v>40</v>
      </c>
      <c r="G10" t="s">
        <v>143</v>
      </c>
      <c r="I10" t="s">
        <v>57</v>
      </c>
      <c r="J10" t="s">
        <v>144</v>
      </c>
      <c r="K10" t="s">
        <v>145</v>
      </c>
      <c r="L10" t="s">
        <v>78</v>
      </c>
      <c r="N10" t="s">
        <v>146</v>
      </c>
      <c r="P10" t="s">
        <v>147</v>
      </c>
      <c r="Q10" t="s">
        <v>149</v>
      </c>
      <c r="R10" t="s">
        <v>148</v>
      </c>
      <c r="T10" s="1">
        <v>45897</v>
      </c>
      <c r="U10" s="1">
        <v>45897</v>
      </c>
      <c r="X10" s="1">
        <v>42736</v>
      </c>
      <c r="Y10" t="s">
        <v>111</v>
      </c>
      <c r="AA10" t="s">
        <v>65</v>
      </c>
    </row>
    <row r="11" spans="1:34" ht="15" customHeight="1" x14ac:dyDescent="0.2">
      <c r="A11" t="s">
        <v>55</v>
      </c>
      <c r="B11" t="s">
        <v>121</v>
      </c>
      <c r="C11" t="s">
        <v>123</v>
      </c>
      <c r="D11" t="s">
        <v>38</v>
      </c>
      <c r="E11" t="s">
        <v>39</v>
      </c>
      <c r="F11" t="s">
        <v>40</v>
      </c>
      <c r="G11" t="s">
        <v>124</v>
      </c>
      <c r="I11" t="s">
        <v>57</v>
      </c>
      <c r="J11" t="s">
        <v>125</v>
      </c>
      <c r="L11" t="s">
        <v>45</v>
      </c>
      <c r="N11" t="s">
        <v>122</v>
      </c>
      <c r="P11" t="s">
        <v>86</v>
      </c>
      <c r="Q11" t="s">
        <v>99</v>
      </c>
      <c r="R11" t="s">
        <v>126</v>
      </c>
      <c r="T11" s="1">
        <v>45862</v>
      </c>
      <c r="U11" s="1">
        <v>45862</v>
      </c>
      <c r="X11" s="1">
        <v>37651</v>
      </c>
      <c r="Y11" t="s">
        <v>111</v>
      </c>
      <c r="AA11" t="s">
        <v>65</v>
      </c>
    </row>
    <row r="12" spans="1:34" ht="15" customHeight="1" x14ac:dyDescent="0.2">
      <c r="A12" t="s">
        <v>151</v>
      </c>
      <c r="B12" t="s">
        <v>475</v>
      </c>
      <c r="D12" t="s">
        <v>459</v>
      </c>
      <c r="E12" t="s">
        <v>162</v>
      </c>
      <c r="F12" t="s">
        <v>40</v>
      </c>
      <c r="G12" t="s">
        <v>143</v>
      </c>
      <c r="L12" t="s">
        <v>45</v>
      </c>
      <c r="R12" t="s">
        <v>120</v>
      </c>
      <c r="S12" s="1">
        <v>43818</v>
      </c>
      <c r="Y12" t="s">
        <v>473</v>
      </c>
      <c r="AA12" t="s">
        <v>166</v>
      </c>
      <c r="AB12" s="1">
        <v>43818</v>
      </c>
      <c r="AC12" s="1">
        <v>46022</v>
      </c>
      <c r="AD12" t="s">
        <v>511</v>
      </c>
      <c r="AE12" s="14">
        <f>38400/3</f>
        <v>12800</v>
      </c>
      <c r="AG12" t="s">
        <v>523</v>
      </c>
      <c r="AH12" s="8" t="s">
        <v>499</v>
      </c>
    </row>
    <row r="13" spans="1:34" ht="15" customHeight="1" x14ac:dyDescent="0.2">
      <c r="A13" t="s">
        <v>152</v>
      </c>
      <c r="B13" t="s">
        <v>483</v>
      </c>
      <c r="C13" t="s">
        <v>485</v>
      </c>
      <c r="D13" t="s">
        <v>459</v>
      </c>
      <c r="E13" t="s">
        <v>162</v>
      </c>
      <c r="F13" t="s">
        <v>40</v>
      </c>
      <c r="G13" t="s">
        <v>471</v>
      </c>
      <c r="I13" t="s">
        <v>484</v>
      </c>
      <c r="L13" t="s">
        <v>45</v>
      </c>
      <c r="P13" t="s">
        <v>86</v>
      </c>
      <c r="Q13" t="s">
        <v>99</v>
      </c>
      <c r="R13" t="s">
        <v>120</v>
      </c>
      <c r="S13" s="1">
        <v>43818</v>
      </c>
      <c r="Y13" t="s">
        <v>473</v>
      </c>
      <c r="AA13" t="s">
        <v>166</v>
      </c>
      <c r="AB13" s="1">
        <v>43818</v>
      </c>
      <c r="AC13" s="1">
        <v>46052</v>
      </c>
      <c r="AD13" t="s">
        <v>511</v>
      </c>
      <c r="AE13" s="14">
        <v>5937.5</v>
      </c>
      <c r="AG13" t="s">
        <v>523</v>
      </c>
      <c r="AH13" s="8" t="s">
        <v>554</v>
      </c>
    </row>
    <row r="14" spans="1:34" ht="15" customHeight="1" x14ac:dyDescent="0.2">
      <c r="A14" t="s">
        <v>150</v>
      </c>
      <c r="B14" t="s">
        <v>154</v>
      </c>
      <c r="C14" t="s">
        <v>447</v>
      </c>
      <c r="D14" t="s">
        <v>38</v>
      </c>
      <c r="E14" t="s">
        <v>39</v>
      </c>
      <c r="F14" t="s">
        <v>40</v>
      </c>
      <c r="G14" t="s">
        <v>155</v>
      </c>
      <c r="I14" t="s">
        <v>43</v>
      </c>
      <c r="K14" t="s">
        <v>156</v>
      </c>
      <c r="L14" t="s">
        <v>45</v>
      </c>
      <c r="N14" t="s">
        <v>157</v>
      </c>
      <c r="O14" t="s">
        <v>446</v>
      </c>
      <c r="P14" t="s">
        <v>46</v>
      </c>
      <c r="Q14" t="s">
        <v>108</v>
      </c>
      <c r="R14" t="s">
        <v>158</v>
      </c>
      <c r="T14" s="1">
        <v>45839</v>
      </c>
      <c r="U14" s="1">
        <v>45839</v>
      </c>
      <c r="X14" s="1">
        <v>42826</v>
      </c>
      <c r="Y14" t="s">
        <v>111</v>
      </c>
      <c r="AA14" t="s">
        <v>50</v>
      </c>
    </row>
    <row r="15" spans="1:34" ht="15" customHeight="1" x14ac:dyDescent="0.2">
      <c r="A15" t="s">
        <v>168</v>
      </c>
      <c r="B15" t="s">
        <v>169</v>
      </c>
      <c r="C15" t="s">
        <v>170</v>
      </c>
      <c r="D15" t="s">
        <v>38</v>
      </c>
      <c r="E15" t="s">
        <v>39</v>
      </c>
      <c r="F15" t="s">
        <v>40</v>
      </c>
      <c r="G15" t="s">
        <v>118</v>
      </c>
      <c r="I15" t="s">
        <v>119</v>
      </c>
      <c r="L15" t="s">
        <v>45</v>
      </c>
      <c r="N15" t="s">
        <v>171</v>
      </c>
      <c r="P15" t="s">
        <v>46</v>
      </c>
      <c r="Q15" t="s">
        <v>47</v>
      </c>
      <c r="R15" t="s">
        <v>120</v>
      </c>
      <c r="T15" s="1">
        <v>45908</v>
      </c>
      <c r="U15" s="1">
        <v>45908</v>
      </c>
      <c r="X15" s="1">
        <v>43466</v>
      </c>
      <c r="Y15" t="s">
        <v>111</v>
      </c>
      <c r="AA15" t="s">
        <v>97</v>
      </c>
    </row>
    <row r="16" spans="1:34" ht="15" customHeight="1" x14ac:dyDescent="0.2">
      <c r="A16" t="s">
        <v>182</v>
      </c>
      <c r="B16" s="3" t="s">
        <v>172</v>
      </c>
      <c r="C16" t="s">
        <v>192</v>
      </c>
      <c r="D16" t="s">
        <v>64</v>
      </c>
      <c r="E16" t="s">
        <v>162</v>
      </c>
      <c r="F16" t="s">
        <v>40</v>
      </c>
      <c r="G16" t="s">
        <v>200</v>
      </c>
      <c r="I16" t="s">
        <v>202</v>
      </c>
      <c r="L16" t="s">
        <v>78</v>
      </c>
      <c r="N16" t="s">
        <v>164</v>
      </c>
      <c r="P16" t="s">
        <v>46</v>
      </c>
      <c r="Q16" t="s">
        <v>47</v>
      </c>
      <c r="R16" s="4" t="s">
        <v>179</v>
      </c>
      <c r="S16" s="1">
        <v>45627</v>
      </c>
      <c r="U16" s="1">
        <v>45627</v>
      </c>
      <c r="AA16" t="s">
        <v>186</v>
      </c>
      <c r="AB16" s="1">
        <v>45627</v>
      </c>
      <c r="AC16" s="1">
        <v>45627</v>
      </c>
      <c r="AD16" t="s">
        <v>536</v>
      </c>
      <c r="AE16" s="14">
        <v>95550</v>
      </c>
    </row>
    <row r="17" spans="1:34" ht="15" customHeight="1" x14ac:dyDescent="0.2">
      <c r="A17" t="s">
        <v>183</v>
      </c>
      <c r="B17" s="3" t="s">
        <v>173</v>
      </c>
      <c r="C17" t="s">
        <v>193</v>
      </c>
      <c r="D17" t="s">
        <v>64</v>
      </c>
      <c r="E17" t="s">
        <v>162</v>
      </c>
      <c r="F17" t="s">
        <v>40</v>
      </c>
      <c r="G17" t="s">
        <v>200</v>
      </c>
      <c r="I17" t="s">
        <v>202</v>
      </c>
      <c r="L17" t="s">
        <v>78</v>
      </c>
      <c r="N17" t="s">
        <v>164</v>
      </c>
      <c r="P17" t="s">
        <v>46</v>
      </c>
      <c r="Q17" t="s">
        <v>47</v>
      </c>
      <c r="R17" s="4" t="s">
        <v>179</v>
      </c>
      <c r="S17" s="1">
        <v>45627</v>
      </c>
      <c r="U17" s="1">
        <v>45627</v>
      </c>
      <c r="AA17" t="s">
        <v>186</v>
      </c>
      <c r="AB17" s="1">
        <v>45717</v>
      </c>
      <c r="AD17" t="s">
        <v>511</v>
      </c>
      <c r="AE17" s="14">
        <v>64800</v>
      </c>
      <c r="AH17" t="s">
        <v>537</v>
      </c>
    </row>
    <row r="18" spans="1:34" ht="15" customHeight="1" x14ac:dyDescent="0.2">
      <c r="A18" t="s">
        <v>184</v>
      </c>
      <c r="B18" s="3" t="s">
        <v>174</v>
      </c>
      <c r="C18" t="s">
        <v>194</v>
      </c>
      <c r="D18" t="s">
        <v>64</v>
      </c>
      <c r="E18" t="s">
        <v>162</v>
      </c>
      <c r="F18" t="s">
        <v>40</v>
      </c>
      <c r="G18" t="s">
        <v>200</v>
      </c>
      <c r="I18" t="s">
        <v>202</v>
      </c>
      <c r="L18" t="s">
        <v>78</v>
      </c>
      <c r="N18" t="s">
        <v>164</v>
      </c>
      <c r="P18" t="s">
        <v>46</v>
      </c>
      <c r="Q18" t="s">
        <v>47</v>
      </c>
      <c r="R18" s="4" t="s">
        <v>179</v>
      </c>
      <c r="S18" s="1">
        <v>45627</v>
      </c>
      <c r="U18" s="1">
        <v>45627</v>
      </c>
      <c r="AA18" t="s">
        <v>186</v>
      </c>
      <c r="AB18" s="1">
        <v>45627</v>
      </c>
      <c r="AC18" s="1">
        <v>45627</v>
      </c>
      <c r="AD18" t="s">
        <v>536</v>
      </c>
      <c r="AE18" s="14">
        <v>56490</v>
      </c>
    </row>
    <row r="19" spans="1:34" ht="15" customHeight="1" x14ac:dyDescent="0.2">
      <c r="A19" t="s">
        <v>185</v>
      </c>
      <c r="B19" s="3" t="s">
        <v>175</v>
      </c>
      <c r="C19" t="s">
        <v>195</v>
      </c>
      <c r="D19" t="s">
        <v>64</v>
      </c>
      <c r="E19" t="s">
        <v>162</v>
      </c>
      <c r="F19" t="s">
        <v>40</v>
      </c>
      <c r="G19" t="s">
        <v>200</v>
      </c>
      <c r="I19" t="s">
        <v>202</v>
      </c>
      <c r="L19" t="s">
        <v>78</v>
      </c>
      <c r="N19" t="s">
        <v>164</v>
      </c>
      <c r="P19" t="s">
        <v>46</v>
      </c>
      <c r="Q19" t="s">
        <v>47</v>
      </c>
      <c r="R19" s="4" t="s">
        <v>179</v>
      </c>
      <c r="S19" s="1">
        <v>45627</v>
      </c>
      <c r="U19" s="1">
        <v>45627</v>
      </c>
      <c r="AA19" t="s">
        <v>186</v>
      </c>
      <c r="AB19" s="1">
        <v>45717</v>
      </c>
      <c r="AD19" t="s">
        <v>511</v>
      </c>
      <c r="AE19" s="14">
        <v>43200</v>
      </c>
      <c r="AH19" t="s">
        <v>537</v>
      </c>
    </row>
    <row r="20" spans="1:34" ht="15" customHeight="1" x14ac:dyDescent="0.2">
      <c r="A20" t="s">
        <v>188</v>
      </c>
      <c r="B20" s="3" t="s">
        <v>176</v>
      </c>
      <c r="C20" t="s">
        <v>196</v>
      </c>
      <c r="D20" t="s">
        <v>64</v>
      </c>
      <c r="E20" t="s">
        <v>162</v>
      </c>
      <c r="F20" t="s">
        <v>40</v>
      </c>
      <c r="G20" t="s">
        <v>201</v>
      </c>
      <c r="I20" t="s">
        <v>202</v>
      </c>
      <c r="L20" t="s">
        <v>45</v>
      </c>
      <c r="N20" t="s">
        <v>164</v>
      </c>
      <c r="P20" t="s">
        <v>86</v>
      </c>
      <c r="Q20" t="s">
        <v>99</v>
      </c>
      <c r="R20" s="4" t="s">
        <v>120</v>
      </c>
      <c r="S20" s="1">
        <v>45529</v>
      </c>
      <c r="AA20" t="s">
        <v>186</v>
      </c>
      <c r="AB20" s="1">
        <v>45529</v>
      </c>
      <c r="AC20" s="1">
        <v>46258</v>
      </c>
      <c r="AD20" t="s">
        <v>511</v>
      </c>
      <c r="AE20" s="14">
        <v>25000</v>
      </c>
      <c r="AG20" t="s">
        <v>523</v>
      </c>
    </row>
    <row r="21" spans="1:34" ht="15" customHeight="1" x14ac:dyDescent="0.2">
      <c r="A21" t="s">
        <v>189</v>
      </c>
      <c r="B21" s="3" t="s">
        <v>177</v>
      </c>
      <c r="C21" t="s">
        <v>197</v>
      </c>
      <c r="D21" t="s">
        <v>64</v>
      </c>
      <c r="E21" t="s">
        <v>162</v>
      </c>
      <c r="F21" t="s">
        <v>40</v>
      </c>
      <c r="G21" t="s">
        <v>200</v>
      </c>
      <c r="I21" t="s">
        <v>202</v>
      </c>
      <c r="L21" t="s">
        <v>78</v>
      </c>
      <c r="N21" t="s">
        <v>164</v>
      </c>
      <c r="P21" t="s">
        <v>46</v>
      </c>
      <c r="Q21" t="s">
        <v>47</v>
      </c>
      <c r="R21" s="4" t="s">
        <v>180</v>
      </c>
      <c r="S21" s="1">
        <v>45642</v>
      </c>
      <c r="U21" s="1">
        <v>45642</v>
      </c>
      <c r="AA21" t="s">
        <v>186</v>
      </c>
      <c r="AB21" s="1">
        <v>45642</v>
      </c>
      <c r="AD21" t="s">
        <v>511</v>
      </c>
      <c r="AE21" s="14">
        <v>123000</v>
      </c>
      <c r="AG21" t="s">
        <v>524</v>
      </c>
    </row>
    <row r="22" spans="1:34" ht="15" customHeight="1" x14ac:dyDescent="0.2">
      <c r="A22" t="s">
        <v>190</v>
      </c>
      <c r="B22" s="3" t="s">
        <v>178</v>
      </c>
      <c r="C22" t="s">
        <v>198</v>
      </c>
      <c r="D22" t="s">
        <v>64</v>
      </c>
      <c r="E22" t="s">
        <v>162</v>
      </c>
      <c r="F22" t="s">
        <v>40</v>
      </c>
      <c r="G22" t="s">
        <v>200</v>
      </c>
      <c r="I22" t="s">
        <v>202</v>
      </c>
      <c r="L22" t="s">
        <v>78</v>
      </c>
      <c r="N22" t="s">
        <v>164</v>
      </c>
      <c r="P22" t="s">
        <v>46</v>
      </c>
      <c r="Q22" t="s">
        <v>47</v>
      </c>
      <c r="R22" s="4" t="s">
        <v>59</v>
      </c>
      <c r="S22" s="1">
        <v>45666</v>
      </c>
      <c r="U22" s="1">
        <v>45666</v>
      </c>
      <c r="AA22" t="s">
        <v>186</v>
      </c>
      <c r="AB22" s="1">
        <v>45666</v>
      </c>
      <c r="AC22" s="1">
        <v>46508</v>
      </c>
      <c r="AD22" t="s">
        <v>571</v>
      </c>
      <c r="AE22" s="14">
        <v>54120</v>
      </c>
      <c r="AG22" t="s">
        <v>523</v>
      </c>
      <c r="AH22" t="s">
        <v>572</v>
      </c>
    </row>
    <row r="23" spans="1:34" ht="15" customHeight="1" x14ac:dyDescent="0.2">
      <c r="A23" t="s">
        <v>191</v>
      </c>
      <c r="B23" s="3" t="s">
        <v>440</v>
      </c>
      <c r="C23" t="s">
        <v>199</v>
      </c>
      <c r="D23" t="s">
        <v>64</v>
      </c>
      <c r="E23" t="s">
        <v>162</v>
      </c>
      <c r="F23" t="s">
        <v>40</v>
      </c>
      <c r="G23" t="s">
        <v>112</v>
      </c>
      <c r="I23" t="s">
        <v>202</v>
      </c>
      <c r="L23" t="s">
        <v>45</v>
      </c>
      <c r="N23" t="s">
        <v>164</v>
      </c>
      <c r="P23" t="s">
        <v>86</v>
      </c>
      <c r="Q23" t="s">
        <v>99</v>
      </c>
      <c r="R23" s="4" t="s">
        <v>181</v>
      </c>
      <c r="AA23" t="s">
        <v>186</v>
      </c>
      <c r="AE23" s="14">
        <v>210000</v>
      </c>
    </row>
    <row r="24" spans="1:34" ht="15" customHeight="1" x14ac:dyDescent="0.2">
      <c r="A24" t="s">
        <v>203</v>
      </c>
      <c r="B24" s="3" t="s">
        <v>204</v>
      </c>
      <c r="C24" t="s">
        <v>205</v>
      </c>
      <c r="D24" t="s">
        <v>38</v>
      </c>
      <c r="E24" t="s">
        <v>39</v>
      </c>
      <c r="F24" t="s">
        <v>40</v>
      </c>
      <c r="G24" t="s">
        <v>68</v>
      </c>
      <c r="I24" t="s">
        <v>42</v>
      </c>
      <c r="L24" t="s">
        <v>45</v>
      </c>
      <c r="M24" t="s">
        <v>78</v>
      </c>
      <c r="N24" t="s">
        <v>207</v>
      </c>
      <c r="O24" t="s">
        <v>210</v>
      </c>
      <c r="P24" t="s">
        <v>86</v>
      </c>
      <c r="Q24" t="s">
        <v>82</v>
      </c>
      <c r="R24" s="4" t="s">
        <v>206</v>
      </c>
      <c r="T24" s="1">
        <v>45910</v>
      </c>
      <c r="U24" s="1">
        <v>45910</v>
      </c>
      <c r="X24" s="1">
        <v>39630</v>
      </c>
      <c r="Y24" t="s">
        <v>111</v>
      </c>
      <c r="AA24" t="s">
        <v>166</v>
      </c>
    </row>
    <row r="25" spans="1:34" ht="15" customHeight="1" x14ac:dyDescent="0.2">
      <c r="A25" t="s">
        <v>212</v>
      </c>
      <c r="B25" t="s">
        <v>404</v>
      </c>
      <c r="C25" t="s">
        <v>213</v>
      </c>
      <c r="D25" t="str">
        <f t="shared" ref="D25:D54" si="0">IF(S25="N","Trial","Licensed")</f>
        <v>Licensed</v>
      </c>
      <c r="E25" t="s">
        <v>39</v>
      </c>
      <c r="F25" t="str">
        <f t="shared" ref="F25:F55" si="1">IF(R25="Internal","Derived","Vendor")</f>
        <v>Vendor</v>
      </c>
      <c r="G25" t="s">
        <v>214</v>
      </c>
      <c r="I25" t="s">
        <v>214</v>
      </c>
      <c r="L25" t="s">
        <v>78</v>
      </c>
      <c r="O25" t="s">
        <v>215</v>
      </c>
      <c r="P25" t="s">
        <v>46</v>
      </c>
      <c r="Q25" t="s">
        <v>47</v>
      </c>
      <c r="R25" t="s">
        <v>216</v>
      </c>
      <c r="S25" s="1" t="s">
        <v>138</v>
      </c>
      <c r="U25" s="1" t="s">
        <v>138</v>
      </c>
      <c r="V25" s="1" t="s">
        <v>138</v>
      </c>
      <c r="X25" s="1" t="s">
        <v>138</v>
      </c>
      <c r="AA25" t="s">
        <v>166</v>
      </c>
      <c r="AB25" s="1" t="s">
        <v>138</v>
      </c>
      <c r="AC25" s="1" t="s">
        <v>138</v>
      </c>
      <c r="AD25" t="s">
        <v>138</v>
      </c>
      <c r="AE25" s="14" t="s">
        <v>138</v>
      </c>
      <c r="AG25" t="s">
        <v>523</v>
      </c>
    </row>
    <row r="26" spans="1:34" ht="15" customHeight="1" x14ac:dyDescent="0.2">
      <c r="A26" t="s">
        <v>218</v>
      </c>
      <c r="B26" t="s">
        <v>405</v>
      </c>
      <c r="C26" t="s">
        <v>219</v>
      </c>
      <c r="D26" t="str">
        <f t="shared" si="0"/>
        <v>Licensed</v>
      </c>
      <c r="E26" t="s">
        <v>211</v>
      </c>
      <c r="F26" t="str">
        <f t="shared" si="1"/>
        <v>Vendor</v>
      </c>
      <c r="G26" t="s">
        <v>200</v>
      </c>
      <c r="I26" t="s">
        <v>220</v>
      </c>
      <c r="L26" t="s">
        <v>45</v>
      </c>
      <c r="O26" t="s">
        <v>221</v>
      </c>
      <c r="P26" t="s">
        <v>46</v>
      </c>
      <c r="Q26" t="s">
        <v>47</v>
      </c>
      <c r="R26" t="s">
        <v>165</v>
      </c>
      <c r="X26" t="s">
        <v>222</v>
      </c>
      <c r="AA26" t="s">
        <v>166</v>
      </c>
      <c r="AG26" t="s">
        <v>523</v>
      </c>
    </row>
    <row r="27" spans="1:34" ht="15" customHeight="1" x14ac:dyDescent="0.2">
      <c r="A27" t="s">
        <v>223</v>
      </c>
      <c r="B27" t="s">
        <v>406</v>
      </c>
      <c r="C27" t="s">
        <v>224</v>
      </c>
      <c r="D27" t="str">
        <f t="shared" si="0"/>
        <v>Licensed</v>
      </c>
      <c r="E27" t="s">
        <v>211</v>
      </c>
      <c r="F27" t="str">
        <f t="shared" si="1"/>
        <v>Vendor</v>
      </c>
      <c r="G27" t="s">
        <v>200</v>
      </c>
      <c r="I27" t="s">
        <v>220</v>
      </c>
      <c r="L27" t="s">
        <v>225</v>
      </c>
      <c r="O27" t="s">
        <v>226</v>
      </c>
      <c r="P27" t="s">
        <v>46</v>
      </c>
      <c r="Q27" t="s">
        <v>47</v>
      </c>
      <c r="R27" t="s">
        <v>165</v>
      </c>
      <c r="X27" t="s">
        <v>227</v>
      </c>
      <c r="AA27" t="s">
        <v>166</v>
      </c>
      <c r="AG27" t="s">
        <v>523</v>
      </c>
    </row>
    <row r="28" spans="1:34" ht="15" customHeight="1" x14ac:dyDescent="0.2">
      <c r="A28" t="s">
        <v>228</v>
      </c>
      <c r="B28" t="s">
        <v>407</v>
      </c>
      <c r="C28" t="s">
        <v>229</v>
      </c>
      <c r="D28" t="str">
        <f t="shared" si="0"/>
        <v>Licensed</v>
      </c>
      <c r="E28" t="s">
        <v>39</v>
      </c>
      <c r="F28" t="str">
        <f t="shared" si="1"/>
        <v>Derived</v>
      </c>
      <c r="G28" t="s">
        <v>230</v>
      </c>
      <c r="I28" t="s">
        <v>214</v>
      </c>
      <c r="L28" t="s">
        <v>78</v>
      </c>
      <c r="O28" t="s">
        <v>231</v>
      </c>
      <c r="P28" t="s">
        <v>46</v>
      </c>
      <c r="Q28" t="s">
        <v>47</v>
      </c>
      <c r="R28" t="s">
        <v>232</v>
      </c>
      <c r="X28" t="s">
        <v>227</v>
      </c>
      <c r="AA28" t="s">
        <v>166</v>
      </c>
      <c r="AG28" t="s">
        <v>523</v>
      </c>
    </row>
    <row r="29" spans="1:34" ht="15" customHeight="1" x14ac:dyDescent="0.2">
      <c r="A29" t="s">
        <v>233</v>
      </c>
      <c r="B29" t="s">
        <v>408</v>
      </c>
      <c r="C29" t="s">
        <v>234</v>
      </c>
      <c r="D29" t="str">
        <f t="shared" si="0"/>
        <v>Licensed</v>
      </c>
      <c r="E29" t="s">
        <v>39</v>
      </c>
      <c r="F29" t="str">
        <f t="shared" si="1"/>
        <v>Derived</v>
      </c>
      <c r="G29" t="s">
        <v>230</v>
      </c>
      <c r="I29" t="s">
        <v>235</v>
      </c>
      <c r="L29" t="s">
        <v>78</v>
      </c>
      <c r="O29" t="s">
        <v>236</v>
      </c>
      <c r="P29" t="s">
        <v>46</v>
      </c>
      <c r="Q29" t="s">
        <v>47</v>
      </c>
      <c r="R29" t="s">
        <v>232</v>
      </c>
      <c r="X29" t="s">
        <v>227</v>
      </c>
      <c r="AA29" t="s">
        <v>166</v>
      </c>
      <c r="AG29" t="s">
        <v>523</v>
      </c>
    </row>
    <row r="30" spans="1:34" ht="15" customHeight="1" x14ac:dyDescent="0.2">
      <c r="A30" t="s">
        <v>237</v>
      </c>
      <c r="B30" t="s">
        <v>411</v>
      </c>
      <c r="C30" t="s">
        <v>238</v>
      </c>
      <c r="D30" t="str">
        <f t="shared" si="0"/>
        <v>Licensed</v>
      </c>
      <c r="E30" t="s">
        <v>211</v>
      </c>
      <c r="F30" t="str">
        <f t="shared" si="1"/>
        <v>Derived</v>
      </c>
      <c r="G30" t="s">
        <v>230</v>
      </c>
      <c r="I30" t="s">
        <v>235</v>
      </c>
      <c r="L30" t="s">
        <v>78</v>
      </c>
      <c r="P30" t="s">
        <v>46</v>
      </c>
      <c r="Q30" t="s">
        <v>47</v>
      </c>
      <c r="R30" t="s">
        <v>232</v>
      </c>
      <c r="X30" t="s">
        <v>227</v>
      </c>
      <c r="AA30" t="s">
        <v>166</v>
      </c>
      <c r="AG30" t="s">
        <v>523</v>
      </c>
    </row>
    <row r="31" spans="1:34" ht="15" customHeight="1" x14ac:dyDescent="0.2">
      <c r="A31" t="s">
        <v>239</v>
      </c>
      <c r="B31" t="s">
        <v>240</v>
      </c>
      <c r="C31" t="s">
        <v>241</v>
      </c>
      <c r="D31" t="str">
        <f t="shared" si="0"/>
        <v>Licensed</v>
      </c>
      <c r="E31" t="s">
        <v>211</v>
      </c>
      <c r="F31" t="str">
        <f t="shared" si="1"/>
        <v>Vendor</v>
      </c>
      <c r="G31" t="s">
        <v>200</v>
      </c>
      <c r="I31" t="s">
        <v>242</v>
      </c>
      <c r="L31" t="s">
        <v>78</v>
      </c>
      <c r="O31" t="s">
        <v>243</v>
      </c>
      <c r="P31" t="s">
        <v>46</v>
      </c>
      <c r="Q31" t="s">
        <v>47</v>
      </c>
      <c r="R31" t="s">
        <v>244</v>
      </c>
      <c r="X31" t="s">
        <v>245</v>
      </c>
      <c r="AA31" t="s">
        <v>166</v>
      </c>
      <c r="AG31" t="s">
        <v>523</v>
      </c>
    </row>
    <row r="32" spans="1:34" ht="15" customHeight="1" x14ac:dyDescent="0.2">
      <c r="A32" t="s">
        <v>246</v>
      </c>
      <c r="B32" t="s">
        <v>247</v>
      </c>
      <c r="C32" t="s">
        <v>241</v>
      </c>
      <c r="D32" t="str">
        <f t="shared" si="0"/>
        <v>Licensed</v>
      </c>
      <c r="E32" t="s">
        <v>211</v>
      </c>
      <c r="F32" t="str">
        <f t="shared" si="1"/>
        <v>Vendor</v>
      </c>
      <c r="G32" t="s">
        <v>200</v>
      </c>
      <c r="I32" t="s">
        <v>242</v>
      </c>
      <c r="L32" t="s">
        <v>78</v>
      </c>
      <c r="O32" t="s">
        <v>248</v>
      </c>
      <c r="P32" t="s">
        <v>46</v>
      </c>
      <c r="Q32" t="s">
        <v>47</v>
      </c>
      <c r="R32" t="s">
        <v>249</v>
      </c>
      <c r="X32" t="s">
        <v>245</v>
      </c>
      <c r="AA32" t="s">
        <v>166</v>
      </c>
      <c r="AG32" t="s">
        <v>523</v>
      </c>
    </row>
    <row r="33" spans="1:34" ht="15" customHeight="1" x14ac:dyDescent="0.2">
      <c r="A33" t="s">
        <v>250</v>
      </c>
      <c r="B33" t="s">
        <v>251</v>
      </c>
      <c r="C33" t="s">
        <v>241</v>
      </c>
      <c r="D33" t="str">
        <f t="shared" si="0"/>
        <v>Licensed</v>
      </c>
      <c r="E33" t="s">
        <v>211</v>
      </c>
      <c r="F33" t="str">
        <f t="shared" si="1"/>
        <v>Vendor</v>
      </c>
      <c r="G33" t="s">
        <v>200</v>
      </c>
      <c r="I33" t="s">
        <v>242</v>
      </c>
      <c r="L33" t="s">
        <v>78</v>
      </c>
      <c r="O33" t="s">
        <v>252</v>
      </c>
      <c r="P33" t="s">
        <v>46</v>
      </c>
      <c r="Q33" t="s">
        <v>47</v>
      </c>
      <c r="R33" t="s">
        <v>253</v>
      </c>
      <c r="X33" t="s">
        <v>222</v>
      </c>
      <c r="AA33" t="s">
        <v>166</v>
      </c>
      <c r="AG33" t="s">
        <v>523</v>
      </c>
    </row>
    <row r="34" spans="1:34" ht="15" customHeight="1" x14ac:dyDescent="0.2">
      <c r="A34" t="s">
        <v>254</v>
      </c>
      <c r="B34" t="s">
        <v>255</v>
      </c>
      <c r="C34" t="s">
        <v>241</v>
      </c>
      <c r="D34" t="str">
        <f t="shared" si="0"/>
        <v>Licensed</v>
      </c>
      <c r="E34" t="s">
        <v>211</v>
      </c>
      <c r="F34" t="str">
        <f t="shared" si="1"/>
        <v>Vendor</v>
      </c>
      <c r="G34" t="s">
        <v>200</v>
      </c>
      <c r="I34" t="s">
        <v>242</v>
      </c>
      <c r="L34" t="s">
        <v>78</v>
      </c>
      <c r="O34" t="s">
        <v>256</v>
      </c>
      <c r="P34" t="s">
        <v>46</v>
      </c>
      <c r="Q34" t="s">
        <v>47</v>
      </c>
      <c r="R34" t="s">
        <v>257</v>
      </c>
      <c r="X34" t="s">
        <v>258</v>
      </c>
      <c r="AA34" t="s">
        <v>166</v>
      </c>
      <c r="AG34" t="s">
        <v>523</v>
      </c>
    </row>
    <row r="35" spans="1:34" ht="15" customHeight="1" x14ac:dyDescent="0.2">
      <c r="A35" t="s">
        <v>259</v>
      </c>
      <c r="B35" t="s">
        <v>260</v>
      </c>
      <c r="C35" t="s">
        <v>241</v>
      </c>
      <c r="D35" t="str">
        <f t="shared" si="0"/>
        <v>Licensed</v>
      </c>
      <c r="E35" t="s">
        <v>211</v>
      </c>
      <c r="F35" t="str">
        <f t="shared" si="1"/>
        <v>Vendor</v>
      </c>
      <c r="G35" t="s">
        <v>200</v>
      </c>
      <c r="I35" t="s">
        <v>242</v>
      </c>
      <c r="L35" t="s">
        <v>261</v>
      </c>
      <c r="O35" t="s">
        <v>262</v>
      </c>
      <c r="P35" t="s">
        <v>46</v>
      </c>
      <c r="Q35" t="s">
        <v>47</v>
      </c>
      <c r="R35" t="s">
        <v>263</v>
      </c>
      <c r="X35" t="s">
        <v>264</v>
      </c>
      <c r="AA35" t="s">
        <v>166</v>
      </c>
      <c r="AG35" t="s">
        <v>523</v>
      </c>
    </row>
    <row r="36" spans="1:34" ht="15" customHeight="1" x14ac:dyDescent="0.2">
      <c r="A36" t="s">
        <v>265</v>
      </c>
      <c r="B36" t="s">
        <v>266</v>
      </c>
      <c r="C36" t="s">
        <v>241</v>
      </c>
      <c r="D36" t="str">
        <f t="shared" si="0"/>
        <v>Licensed</v>
      </c>
      <c r="E36" t="s">
        <v>211</v>
      </c>
      <c r="F36" t="str">
        <f t="shared" si="1"/>
        <v>Vendor</v>
      </c>
      <c r="G36" t="s">
        <v>200</v>
      </c>
      <c r="I36" t="s">
        <v>242</v>
      </c>
      <c r="L36" t="s">
        <v>267</v>
      </c>
      <c r="M36" t="s">
        <v>268</v>
      </c>
      <c r="O36" t="s">
        <v>269</v>
      </c>
      <c r="P36" t="s">
        <v>46</v>
      </c>
      <c r="Q36" t="s">
        <v>47</v>
      </c>
      <c r="R36" t="s">
        <v>270</v>
      </c>
      <c r="X36" t="s">
        <v>271</v>
      </c>
      <c r="AA36" t="s">
        <v>166</v>
      </c>
      <c r="AG36" t="s">
        <v>523</v>
      </c>
    </row>
    <row r="37" spans="1:34" ht="15" customHeight="1" x14ac:dyDescent="0.2">
      <c r="A37" t="s">
        <v>272</v>
      </c>
      <c r="B37" t="s">
        <v>273</v>
      </c>
      <c r="C37" t="s">
        <v>241</v>
      </c>
      <c r="D37" t="str">
        <f t="shared" si="0"/>
        <v>Licensed</v>
      </c>
      <c r="E37" t="s">
        <v>211</v>
      </c>
      <c r="F37" t="str">
        <f t="shared" si="1"/>
        <v>Vendor</v>
      </c>
      <c r="G37" t="s">
        <v>200</v>
      </c>
      <c r="I37" t="s">
        <v>242</v>
      </c>
      <c r="L37" t="s">
        <v>274</v>
      </c>
      <c r="M37" t="s">
        <v>275</v>
      </c>
      <c r="O37" t="s">
        <v>276</v>
      </c>
      <c r="P37" t="s">
        <v>46</v>
      </c>
      <c r="Q37" t="s">
        <v>47</v>
      </c>
      <c r="R37" t="s">
        <v>277</v>
      </c>
      <c r="X37" t="s">
        <v>278</v>
      </c>
      <c r="AA37" t="s">
        <v>166</v>
      </c>
      <c r="AG37" t="s">
        <v>523</v>
      </c>
    </row>
    <row r="38" spans="1:34" ht="15" customHeight="1" x14ac:dyDescent="0.2">
      <c r="A38" t="s">
        <v>279</v>
      </c>
      <c r="B38" t="s">
        <v>280</v>
      </c>
      <c r="C38" t="s">
        <v>241</v>
      </c>
      <c r="D38" t="str">
        <f t="shared" si="0"/>
        <v>Licensed</v>
      </c>
      <c r="E38" t="s">
        <v>211</v>
      </c>
      <c r="F38" t="str">
        <f t="shared" si="1"/>
        <v>Vendor</v>
      </c>
      <c r="G38" t="s">
        <v>200</v>
      </c>
      <c r="I38" t="s">
        <v>242</v>
      </c>
      <c r="L38" t="s">
        <v>267</v>
      </c>
      <c r="M38" t="s">
        <v>281</v>
      </c>
      <c r="O38" t="s">
        <v>282</v>
      </c>
      <c r="P38" t="s">
        <v>46</v>
      </c>
      <c r="Q38" t="s">
        <v>47</v>
      </c>
      <c r="R38" t="s">
        <v>283</v>
      </c>
      <c r="X38" t="s">
        <v>227</v>
      </c>
      <c r="AA38" t="s">
        <v>166</v>
      </c>
      <c r="AG38" t="s">
        <v>523</v>
      </c>
    </row>
    <row r="39" spans="1:34" ht="15" customHeight="1" x14ac:dyDescent="0.2">
      <c r="A39" t="s">
        <v>284</v>
      </c>
      <c r="B39" t="s">
        <v>285</v>
      </c>
      <c r="C39" t="s">
        <v>241</v>
      </c>
      <c r="D39" t="str">
        <f t="shared" si="0"/>
        <v>Licensed</v>
      </c>
      <c r="E39" t="s">
        <v>211</v>
      </c>
      <c r="F39" t="str">
        <f t="shared" si="1"/>
        <v>Vendor</v>
      </c>
      <c r="G39" t="s">
        <v>200</v>
      </c>
      <c r="I39" t="s">
        <v>242</v>
      </c>
      <c r="L39" t="s">
        <v>286</v>
      </c>
      <c r="O39" t="s">
        <v>287</v>
      </c>
      <c r="P39" t="s">
        <v>46</v>
      </c>
      <c r="Q39" t="s">
        <v>47</v>
      </c>
      <c r="R39" t="s">
        <v>288</v>
      </c>
      <c r="X39" t="s">
        <v>227</v>
      </c>
      <c r="AA39" t="s">
        <v>166</v>
      </c>
      <c r="AG39" t="s">
        <v>523</v>
      </c>
    </row>
    <row r="40" spans="1:34" ht="15" customHeight="1" x14ac:dyDescent="0.2">
      <c r="A40" t="s">
        <v>289</v>
      </c>
      <c r="B40" t="s">
        <v>290</v>
      </c>
      <c r="C40" t="s">
        <v>291</v>
      </c>
      <c r="D40" t="str">
        <f t="shared" si="0"/>
        <v>Licensed</v>
      </c>
      <c r="E40" t="s">
        <v>211</v>
      </c>
      <c r="F40" t="str">
        <f t="shared" si="1"/>
        <v>Vendor</v>
      </c>
      <c r="G40" t="s">
        <v>200</v>
      </c>
      <c r="I40" t="s">
        <v>292</v>
      </c>
      <c r="L40" t="s">
        <v>45</v>
      </c>
      <c r="O40" t="s">
        <v>293</v>
      </c>
      <c r="P40" t="s">
        <v>46</v>
      </c>
      <c r="Q40" t="s">
        <v>47</v>
      </c>
      <c r="R40" t="s">
        <v>294</v>
      </c>
      <c r="X40" t="s">
        <v>278</v>
      </c>
      <c r="AA40" t="s">
        <v>166</v>
      </c>
      <c r="AG40" t="s">
        <v>523</v>
      </c>
    </row>
    <row r="41" spans="1:34" ht="15" customHeight="1" x14ac:dyDescent="0.2">
      <c r="A41" t="s">
        <v>295</v>
      </c>
      <c r="B41" t="s">
        <v>412</v>
      </c>
      <c r="C41" t="s">
        <v>296</v>
      </c>
      <c r="D41" t="str">
        <f t="shared" si="0"/>
        <v>Licensed</v>
      </c>
      <c r="E41" t="s">
        <v>211</v>
      </c>
      <c r="F41" t="str">
        <f t="shared" si="1"/>
        <v>Vendor</v>
      </c>
      <c r="G41" t="s">
        <v>200</v>
      </c>
      <c r="I41" t="s">
        <v>242</v>
      </c>
      <c r="L41" t="s">
        <v>78</v>
      </c>
      <c r="O41" t="s">
        <v>297</v>
      </c>
      <c r="P41" t="s">
        <v>46</v>
      </c>
      <c r="Q41" t="s">
        <v>47</v>
      </c>
      <c r="R41" t="s">
        <v>257</v>
      </c>
      <c r="X41" t="s">
        <v>271</v>
      </c>
      <c r="AA41" t="s">
        <v>166</v>
      </c>
      <c r="AG41" t="s">
        <v>523</v>
      </c>
    </row>
    <row r="42" spans="1:34" ht="15" customHeight="1" x14ac:dyDescent="0.2">
      <c r="A42" t="s">
        <v>298</v>
      </c>
      <c r="B42" t="s">
        <v>441</v>
      </c>
      <c r="C42" t="s">
        <v>299</v>
      </c>
      <c r="D42" t="str">
        <f t="shared" si="0"/>
        <v>Licensed</v>
      </c>
      <c r="E42" t="s">
        <v>211</v>
      </c>
      <c r="F42" t="str">
        <f t="shared" si="1"/>
        <v>Vendor</v>
      </c>
      <c r="G42" t="s">
        <v>200</v>
      </c>
      <c r="I42" t="s">
        <v>235</v>
      </c>
      <c r="L42" t="s">
        <v>225</v>
      </c>
      <c r="O42" t="s">
        <v>300</v>
      </c>
      <c r="P42" t="s">
        <v>46</v>
      </c>
      <c r="Q42" t="s">
        <v>47</v>
      </c>
      <c r="R42" t="s">
        <v>301</v>
      </c>
      <c r="X42" t="s">
        <v>302</v>
      </c>
      <c r="AA42" t="s">
        <v>166</v>
      </c>
      <c r="AG42" t="s">
        <v>523</v>
      </c>
    </row>
    <row r="43" spans="1:34" ht="15" customHeight="1" x14ac:dyDescent="0.2">
      <c r="A43" t="s">
        <v>303</v>
      </c>
      <c r="B43" t="s">
        <v>413</v>
      </c>
      <c r="C43" t="s">
        <v>304</v>
      </c>
      <c r="D43" t="str">
        <f t="shared" si="0"/>
        <v>Licensed</v>
      </c>
      <c r="E43" t="s">
        <v>211</v>
      </c>
      <c r="F43" t="str">
        <f t="shared" si="1"/>
        <v>Vendor</v>
      </c>
      <c r="G43" t="s">
        <v>200</v>
      </c>
      <c r="I43" t="s">
        <v>235</v>
      </c>
      <c r="L43" t="s">
        <v>225</v>
      </c>
      <c r="O43" t="s">
        <v>305</v>
      </c>
      <c r="P43" t="s">
        <v>46</v>
      </c>
      <c r="Q43" t="s">
        <v>47</v>
      </c>
      <c r="R43" t="s">
        <v>306</v>
      </c>
      <c r="X43" t="s">
        <v>258</v>
      </c>
      <c r="AA43" t="s">
        <v>166</v>
      </c>
      <c r="AG43" t="s">
        <v>523</v>
      </c>
    </row>
    <row r="44" spans="1:34" ht="15" customHeight="1" x14ac:dyDescent="0.2">
      <c r="A44" t="s">
        <v>307</v>
      </c>
      <c r="B44" t="s">
        <v>414</v>
      </c>
      <c r="C44" t="s">
        <v>308</v>
      </c>
      <c r="D44" t="str">
        <f t="shared" si="0"/>
        <v>Licensed</v>
      </c>
      <c r="E44" t="s">
        <v>211</v>
      </c>
      <c r="F44" t="str">
        <f t="shared" si="1"/>
        <v>Vendor</v>
      </c>
      <c r="G44" t="s">
        <v>200</v>
      </c>
      <c r="I44" t="s">
        <v>57</v>
      </c>
      <c r="L44" t="s">
        <v>225</v>
      </c>
      <c r="O44" t="s">
        <v>309</v>
      </c>
      <c r="P44" t="s">
        <v>46</v>
      </c>
      <c r="Q44" t="s">
        <v>47</v>
      </c>
      <c r="R44" t="s">
        <v>306</v>
      </c>
      <c r="X44" t="s">
        <v>310</v>
      </c>
      <c r="AA44" t="s">
        <v>166</v>
      </c>
      <c r="AG44" t="s">
        <v>523</v>
      </c>
    </row>
    <row r="45" spans="1:34" ht="15" customHeight="1" x14ac:dyDescent="0.2">
      <c r="A45" t="s">
        <v>311</v>
      </c>
      <c r="B45" t="s">
        <v>415</v>
      </c>
      <c r="C45" t="s">
        <v>312</v>
      </c>
      <c r="D45" t="str">
        <f t="shared" si="0"/>
        <v>Licensed</v>
      </c>
      <c r="E45" t="s">
        <v>211</v>
      </c>
      <c r="F45" t="str">
        <f t="shared" si="1"/>
        <v>Vendor</v>
      </c>
      <c r="G45" t="s">
        <v>200</v>
      </c>
      <c r="I45" t="s">
        <v>214</v>
      </c>
      <c r="L45" t="s">
        <v>225</v>
      </c>
      <c r="O45" t="s">
        <v>313</v>
      </c>
      <c r="P45" t="s">
        <v>46</v>
      </c>
      <c r="Q45" t="s">
        <v>47</v>
      </c>
      <c r="R45" t="s">
        <v>306</v>
      </c>
      <c r="X45" t="s">
        <v>310</v>
      </c>
      <c r="AA45" t="s">
        <v>166</v>
      </c>
      <c r="AG45" t="s">
        <v>523</v>
      </c>
    </row>
    <row r="46" spans="1:34" ht="15" customHeight="1" x14ac:dyDescent="0.2">
      <c r="A46" t="s">
        <v>314</v>
      </c>
      <c r="B46" t="s">
        <v>416</v>
      </c>
      <c r="C46" t="s">
        <v>315</v>
      </c>
      <c r="D46" t="str">
        <f t="shared" si="0"/>
        <v>Licensed</v>
      </c>
      <c r="E46" t="s">
        <v>211</v>
      </c>
      <c r="F46" t="str">
        <f t="shared" si="1"/>
        <v>Vendor</v>
      </c>
      <c r="G46" t="s">
        <v>200</v>
      </c>
      <c r="I46" t="s">
        <v>214</v>
      </c>
      <c r="L46" t="s">
        <v>78</v>
      </c>
      <c r="O46" t="s">
        <v>316</v>
      </c>
      <c r="P46" t="s">
        <v>46</v>
      </c>
      <c r="Q46" t="s">
        <v>47</v>
      </c>
      <c r="R46" t="s">
        <v>317</v>
      </c>
      <c r="X46" t="s">
        <v>227</v>
      </c>
      <c r="AA46" t="s">
        <v>166</v>
      </c>
      <c r="AG46" t="s">
        <v>523</v>
      </c>
    </row>
    <row r="47" spans="1:34" ht="15" customHeight="1" x14ac:dyDescent="0.2">
      <c r="A47" t="s">
        <v>318</v>
      </c>
      <c r="B47" t="s">
        <v>417</v>
      </c>
      <c r="C47" t="s">
        <v>319</v>
      </c>
      <c r="D47" t="str">
        <f t="shared" si="0"/>
        <v>Licensed</v>
      </c>
      <c r="E47" t="s">
        <v>211</v>
      </c>
      <c r="F47" t="str">
        <f t="shared" si="1"/>
        <v>Vendor</v>
      </c>
      <c r="G47" t="s">
        <v>200</v>
      </c>
      <c r="I47" t="s">
        <v>214</v>
      </c>
      <c r="L47" t="s">
        <v>78</v>
      </c>
      <c r="P47" t="s">
        <v>46</v>
      </c>
      <c r="Q47" t="s">
        <v>47</v>
      </c>
      <c r="R47" t="s">
        <v>249</v>
      </c>
      <c r="X47" t="s">
        <v>310</v>
      </c>
      <c r="AA47" t="s">
        <v>166</v>
      </c>
      <c r="AG47" t="s">
        <v>523</v>
      </c>
    </row>
    <row r="48" spans="1:34" ht="15" customHeight="1" x14ac:dyDescent="0.2">
      <c r="A48" t="s">
        <v>320</v>
      </c>
      <c r="B48" t="s">
        <v>417</v>
      </c>
      <c r="C48" s="6" t="s">
        <v>543</v>
      </c>
      <c r="D48" t="str">
        <f t="shared" si="0"/>
        <v>Licensed</v>
      </c>
      <c r="E48" t="s">
        <v>555</v>
      </c>
      <c r="F48" t="str">
        <f t="shared" si="1"/>
        <v>Vendor</v>
      </c>
      <c r="G48" t="s">
        <v>200</v>
      </c>
      <c r="I48" t="s">
        <v>214</v>
      </c>
      <c r="L48" t="s">
        <v>78</v>
      </c>
      <c r="O48" t="s">
        <v>321</v>
      </c>
      <c r="P48" t="s">
        <v>46</v>
      </c>
      <c r="Q48" t="s">
        <v>47</v>
      </c>
      <c r="R48" t="s">
        <v>249</v>
      </c>
      <c r="S48" s="2">
        <v>45286</v>
      </c>
      <c r="T48" s="13"/>
      <c r="U48" s="2">
        <v>45286</v>
      </c>
      <c r="V48" s="2">
        <v>45657</v>
      </c>
      <c r="W48" s="13"/>
      <c r="X48" s="2">
        <v>43313</v>
      </c>
      <c r="Y48" s="13"/>
      <c r="Z48" s="13"/>
      <c r="AA48" s="13" t="s">
        <v>166</v>
      </c>
      <c r="AB48" s="2">
        <v>45286</v>
      </c>
      <c r="AC48" s="2">
        <v>45657</v>
      </c>
      <c r="AD48" s="13" t="s">
        <v>511</v>
      </c>
      <c r="AE48" s="15">
        <v>153000</v>
      </c>
      <c r="AF48" s="13"/>
      <c r="AG48" s="13" t="s">
        <v>523</v>
      </c>
      <c r="AH48" s="13"/>
    </row>
    <row r="49" spans="1:34" ht="15" customHeight="1" x14ac:dyDescent="0.2">
      <c r="A49" t="s">
        <v>322</v>
      </c>
      <c r="B49" t="s">
        <v>418</v>
      </c>
      <c r="C49" t="s">
        <v>323</v>
      </c>
      <c r="D49" t="str">
        <f t="shared" si="0"/>
        <v>Licensed</v>
      </c>
      <c r="E49" t="s">
        <v>39</v>
      </c>
      <c r="F49" t="str">
        <f t="shared" si="1"/>
        <v>Vendor</v>
      </c>
      <c r="G49" t="s">
        <v>200</v>
      </c>
      <c r="I49" t="s">
        <v>242</v>
      </c>
      <c r="L49" t="s">
        <v>45</v>
      </c>
      <c r="O49" t="s">
        <v>324</v>
      </c>
      <c r="P49" t="s">
        <v>46</v>
      </c>
      <c r="Q49" t="s">
        <v>47</v>
      </c>
      <c r="R49" t="s">
        <v>165</v>
      </c>
      <c r="X49" t="s">
        <v>222</v>
      </c>
      <c r="AA49" t="s">
        <v>166</v>
      </c>
      <c r="AG49" t="s">
        <v>523</v>
      </c>
    </row>
    <row r="50" spans="1:34" ht="15" customHeight="1" x14ac:dyDescent="0.2">
      <c r="A50" t="s">
        <v>325</v>
      </c>
      <c r="B50" t="s">
        <v>419</v>
      </c>
      <c r="C50" t="s">
        <v>326</v>
      </c>
      <c r="D50" t="str">
        <f t="shared" si="0"/>
        <v>Licensed</v>
      </c>
      <c r="E50" t="s">
        <v>39</v>
      </c>
      <c r="F50" t="str">
        <f t="shared" si="1"/>
        <v>Vendor</v>
      </c>
      <c r="G50" t="s">
        <v>200</v>
      </c>
      <c r="I50" t="s">
        <v>242</v>
      </c>
      <c r="L50" t="s">
        <v>45</v>
      </c>
      <c r="O50" t="s">
        <v>327</v>
      </c>
      <c r="P50" t="s">
        <v>86</v>
      </c>
      <c r="Q50" t="s">
        <v>99</v>
      </c>
      <c r="R50" t="s">
        <v>328</v>
      </c>
      <c r="X50" t="s">
        <v>222</v>
      </c>
      <c r="AA50" t="s">
        <v>166</v>
      </c>
      <c r="AG50" t="s">
        <v>523</v>
      </c>
    </row>
    <row r="51" spans="1:34" ht="15" customHeight="1" x14ac:dyDescent="0.2">
      <c r="A51" t="s">
        <v>329</v>
      </c>
      <c r="B51" t="s">
        <v>330</v>
      </c>
      <c r="C51" t="s">
        <v>331</v>
      </c>
      <c r="D51" t="str">
        <f t="shared" si="0"/>
        <v>Licensed</v>
      </c>
      <c r="E51" t="s">
        <v>39</v>
      </c>
      <c r="F51" t="str">
        <f t="shared" si="1"/>
        <v>Vendor</v>
      </c>
      <c r="G51" t="s">
        <v>200</v>
      </c>
      <c r="I51" t="s">
        <v>242</v>
      </c>
      <c r="L51" t="s">
        <v>78</v>
      </c>
      <c r="O51" t="s">
        <v>332</v>
      </c>
      <c r="P51" t="s">
        <v>46</v>
      </c>
      <c r="Q51" t="s">
        <v>47</v>
      </c>
      <c r="R51" t="s">
        <v>257</v>
      </c>
      <c r="X51" t="s">
        <v>227</v>
      </c>
      <c r="AA51" t="s">
        <v>166</v>
      </c>
      <c r="AG51" t="s">
        <v>523</v>
      </c>
    </row>
    <row r="52" spans="1:34" ht="15" customHeight="1" x14ac:dyDescent="0.2">
      <c r="A52" t="s">
        <v>333</v>
      </c>
      <c r="B52" t="s">
        <v>334</v>
      </c>
      <c r="C52" t="s">
        <v>335</v>
      </c>
      <c r="D52" t="str">
        <f t="shared" si="0"/>
        <v>Licensed</v>
      </c>
      <c r="E52" t="s">
        <v>39</v>
      </c>
      <c r="F52" t="str">
        <f t="shared" si="1"/>
        <v>Vendor</v>
      </c>
      <c r="G52" t="s">
        <v>200</v>
      </c>
      <c r="I52" t="s">
        <v>336</v>
      </c>
      <c r="L52" t="s">
        <v>78</v>
      </c>
      <c r="O52" t="s">
        <v>337</v>
      </c>
      <c r="P52" t="s">
        <v>46</v>
      </c>
      <c r="Q52" t="s">
        <v>47</v>
      </c>
      <c r="R52" t="s">
        <v>244</v>
      </c>
      <c r="X52" t="s">
        <v>310</v>
      </c>
      <c r="AA52" t="s">
        <v>166</v>
      </c>
      <c r="AG52" t="s">
        <v>523</v>
      </c>
    </row>
    <row r="53" spans="1:34" ht="15" customHeight="1" x14ac:dyDescent="0.2">
      <c r="A53" t="s">
        <v>338</v>
      </c>
      <c r="B53" t="s">
        <v>420</v>
      </c>
      <c r="D53" t="str">
        <f t="shared" si="0"/>
        <v>Licensed</v>
      </c>
      <c r="E53" t="s">
        <v>39</v>
      </c>
      <c r="F53" t="str">
        <f t="shared" si="1"/>
        <v>Vendor</v>
      </c>
      <c r="G53" t="s">
        <v>200</v>
      </c>
      <c r="I53" t="s">
        <v>57</v>
      </c>
      <c r="L53" t="s">
        <v>78</v>
      </c>
      <c r="P53" t="s">
        <v>46</v>
      </c>
      <c r="Q53" t="s">
        <v>47</v>
      </c>
      <c r="R53" t="s">
        <v>339</v>
      </c>
      <c r="X53" t="s">
        <v>217</v>
      </c>
      <c r="AA53" t="s">
        <v>166</v>
      </c>
      <c r="AG53" t="s">
        <v>523</v>
      </c>
    </row>
    <row r="54" spans="1:34" ht="15" customHeight="1" x14ac:dyDescent="0.2">
      <c r="A54" t="s">
        <v>340</v>
      </c>
      <c r="B54" t="s">
        <v>421</v>
      </c>
      <c r="C54" t="s">
        <v>342</v>
      </c>
      <c r="D54" t="str">
        <f t="shared" si="0"/>
        <v>Licensed</v>
      </c>
      <c r="E54" t="s">
        <v>211</v>
      </c>
      <c r="F54" t="str">
        <f t="shared" si="1"/>
        <v>Vendor</v>
      </c>
      <c r="G54" t="s">
        <v>200</v>
      </c>
      <c r="I54" t="s">
        <v>242</v>
      </c>
      <c r="L54" t="s">
        <v>343</v>
      </c>
      <c r="P54" t="s">
        <v>46</v>
      </c>
      <c r="Q54" t="s">
        <v>47</v>
      </c>
      <c r="R54" t="s">
        <v>341</v>
      </c>
      <c r="X54" t="s">
        <v>310</v>
      </c>
      <c r="AA54" t="s">
        <v>166</v>
      </c>
      <c r="AG54" t="s">
        <v>523</v>
      </c>
    </row>
    <row r="55" spans="1:34" ht="15" customHeight="1" x14ac:dyDescent="0.2">
      <c r="A55" t="s">
        <v>344</v>
      </c>
      <c r="B55" t="s">
        <v>422</v>
      </c>
      <c r="C55" t="s">
        <v>345</v>
      </c>
      <c r="D55" t="s">
        <v>38</v>
      </c>
      <c r="E55" t="s">
        <v>39</v>
      </c>
      <c r="F55" t="str">
        <f t="shared" si="1"/>
        <v>Vendor</v>
      </c>
      <c r="G55" t="s">
        <v>346</v>
      </c>
      <c r="I55" t="s">
        <v>42</v>
      </c>
      <c r="L55" t="s">
        <v>45</v>
      </c>
      <c r="O55" t="s">
        <v>347</v>
      </c>
      <c r="P55" t="s">
        <v>46</v>
      </c>
      <c r="Q55" t="s">
        <v>108</v>
      </c>
      <c r="R55" t="s">
        <v>348</v>
      </c>
      <c r="X55" t="s">
        <v>222</v>
      </c>
      <c r="AA55" t="s">
        <v>166</v>
      </c>
      <c r="AH55" t="s">
        <v>349</v>
      </c>
    </row>
    <row r="56" spans="1:34" ht="15" customHeight="1" x14ac:dyDescent="0.2">
      <c r="A56" t="s">
        <v>159</v>
      </c>
      <c r="B56" t="s">
        <v>160</v>
      </c>
      <c r="C56" t="s">
        <v>161</v>
      </c>
      <c r="D56" t="s">
        <v>64</v>
      </c>
      <c r="E56" t="s">
        <v>162</v>
      </c>
      <c r="F56" t="s">
        <v>40</v>
      </c>
      <c r="G56" t="s">
        <v>130</v>
      </c>
      <c r="I56" t="s">
        <v>57</v>
      </c>
      <c r="J56" t="s">
        <v>163</v>
      </c>
      <c r="L56" t="s">
        <v>45</v>
      </c>
      <c r="N56" t="s">
        <v>164</v>
      </c>
      <c r="O56" t="s">
        <v>351</v>
      </c>
      <c r="P56" t="s">
        <v>46</v>
      </c>
      <c r="Q56" t="s">
        <v>108</v>
      </c>
      <c r="R56" t="s">
        <v>165</v>
      </c>
      <c r="S56" s="1">
        <v>45616</v>
      </c>
      <c r="T56" t="s">
        <v>164</v>
      </c>
      <c r="U56" t="s">
        <v>164</v>
      </c>
      <c r="X56" t="s">
        <v>164</v>
      </c>
      <c r="Y56" t="s">
        <v>164</v>
      </c>
      <c r="AA56" t="s">
        <v>166</v>
      </c>
      <c r="AB56" s="1">
        <v>45616</v>
      </c>
      <c r="AC56" s="1">
        <f>AB56+364</f>
        <v>45980</v>
      </c>
      <c r="AD56" t="s">
        <v>511</v>
      </c>
      <c r="AE56" s="14">
        <f>4500*12</f>
        <v>54000</v>
      </c>
      <c r="AF56" t="s">
        <v>138</v>
      </c>
      <c r="AG56" t="s">
        <v>523</v>
      </c>
      <c r="AH56" t="s">
        <v>167</v>
      </c>
    </row>
    <row r="57" spans="1:34" ht="15" customHeight="1" x14ac:dyDescent="0.2">
      <c r="A57" t="s">
        <v>30</v>
      </c>
      <c r="B57" t="s">
        <v>91</v>
      </c>
      <c r="C57" t="s">
        <v>92</v>
      </c>
      <c r="D57" t="s">
        <v>64</v>
      </c>
      <c r="E57" t="s">
        <v>39</v>
      </c>
      <c r="F57" t="s">
        <v>40</v>
      </c>
      <c r="G57" t="s">
        <v>93</v>
      </c>
      <c r="I57" t="s">
        <v>57</v>
      </c>
      <c r="J57" t="s">
        <v>94</v>
      </c>
      <c r="L57" t="s">
        <v>45</v>
      </c>
      <c r="N57" t="s">
        <v>95</v>
      </c>
      <c r="P57" t="s">
        <v>46</v>
      </c>
      <c r="Q57" t="s">
        <v>47</v>
      </c>
      <c r="R57" t="s">
        <v>96</v>
      </c>
      <c r="S57" s="1">
        <v>45883</v>
      </c>
      <c r="T57" s="1">
        <v>45860</v>
      </c>
      <c r="U57" s="1">
        <v>45860</v>
      </c>
      <c r="X57" s="1" t="s">
        <v>138</v>
      </c>
      <c r="Y57" t="s">
        <v>69</v>
      </c>
      <c r="AA57" t="s">
        <v>139</v>
      </c>
      <c r="AB57" s="2">
        <v>45883</v>
      </c>
      <c r="AC57" s="1">
        <v>46247</v>
      </c>
      <c r="AD57" t="s">
        <v>511</v>
      </c>
      <c r="AE57" s="14">
        <v>50000</v>
      </c>
      <c r="AG57" t="s">
        <v>523</v>
      </c>
      <c r="AH57" t="s">
        <v>575</v>
      </c>
    </row>
    <row r="58" spans="1:34" ht="15" customHeight="1" x14ac:dyDescent="0.2">
      <c r="A58" t="s">
        <v>354</v>
      </c>
      <c r="B58" t="s">
        <v>424</v>
      </c>
      <c r="C58" t="s">
        <v>352</v>
      </c>
      <c r="D58" t="s">
        <v>38</v>
      </c>
      <c r="E58" t="s">
        <v>39</v>
      </c>
      <c r="F58" t="str">
        <f>IF(R58="Internal","Derived","Vendor")</f>
        <v>Vendor</v>
      </c>
      <c r="G58" t="s">
        <v>131</v>
      </c>
      <c r="I58" t="s">
        <v>57</v>
      </c>
      <c r="L58" t="s">
        <v>45</v>
      </c>
      <c r="O58" t="s">
        <v>355</v>
      </c>
      <c r="P58" t="s">
        <v>86</v>
      </c>
      <c r="Q58" t="s">
        <v>99</v>
      </c>
      <c r="R58" t="s">
        <v>120</v>
      </c>
      <c r="X58" t="s">
        <v>222</v>
      </c>
      <c r="AA58" t="s">
        <v>166</v>
      </c>
      <c r="AH58" t="s">
        <v>356</v>
      </c>
    </row>
    <row r="59" spans="1:34" ht="15" customHeight="1" x14ac:dyDescent="0.2">
      <c r="A59" t="s">
        <v>357</v>
      </c>
      <c r="B59" t="s">
        <v>423</v>
      </c>
      <c r="C59" t="s">
        <v>358</v>
      </c>
      <c r="D59" t="str">
        <f>IF(S59="N","Trial","Licensed")</f>
        <v>Licensed</v>
      </c>
      <c r="E59" t="s">
        <v>39</v>
      </c>
      <c r="F59" t="str">
        <f>IF(R59="Internal","Derived","Vendor")</f>
        <v>Vendor</v>
      </c>
      <c r="G59" t="s">
        <v>130</v>
      </c>
      <c r="I59" t="s">
        <v>57</v>
      </c>
      <c r="L59" t="s">
        <v>45</v>
      </c>
      <c r="O59" t="s">
        <v>359</v>
      </c>
      <c r="P59" t="s">
        <v>46</v>
      </c>
      <c r="Q59" t="s">
        <v>108</v>
      </c>
      <c r="R59" t="s">
        <v>165</v>
      </c>
      <c r="X59" t="s">
        <v>222</v>
      </c>
      <c r="AA59" t="s">
        <v>166</v>
      </c>
      <c r="AG59" t="s">
        <v>523</v>
      </c>
      <c r="AH59" t="s">
        <v>138</v>
      </c>
    </row>
    <row r="60" spans="1:34" ht="15" customHeight="1" x14ac:dyDescent="0.2">
      <c r="A60" t="s">
        <v>34</v>
      </c>
      <c r="B60" t="s">
        <v>116</v>
      </c>
      <c r="C60" t="s">
        <v>117</v>
      </c>
      <c r="D60" t="s">
        <v>64</v>
      </c>
      <c r="E60" t="s">
        <v>39</v>
      </c>
      <c r="F60" t="s">
        <v>40</v>
      </c>
      <c r="G60" t="s">
        <v>118</v>
      </c>
      <c r="I60" t="s">
        <v>57</v>
      </c>
      <c r="L60" t="s">
        <v>45</v>
      </c>
      <c r="N60" t="s">
        <v>409</v>
      </c>
      <c r="O60" t="s">
        <v>361</v>
      </c>
      <c r="P60" t="s">
        <v>86</v>
      </c>
      <c r="Q60" t="s">
        <v>99</v>
      </c>
      <c r="R60" t="s">
        <v>120</v>
      </c>
      <c r="S60" s="1">
        <v>44158</v>
      </c>
      <c r="T60" s="1">
        <v>45796</v>
      </c>
      <c r="U60" s="1">
        <v>45796</v>
      </c>
      <c r="X60" s="1">
        <v>38904</v>
      </c>
      <c r="Y60" t="s">
        <v>111</v>
      </c>
      <c r="AA60" t="s">
        <v>166</v>
      </c>
      <c r="AB60" s="1">
        <v>44158</v>
      </c>
      <c r="AC60" s="1">
        <v>46349</v>
      </c>
      <c r="AD60" t="s">
        <v>511</v>
      </c>
      <c r="AE60" s="14">
        <v>63000</v>
      </c>
      <c r="AF60" s="7">
        <v>0.05</v>
      </c>
      <c r="AG60" t="s">
        <v>523</v>
      </c>
    </row>
    <row r="61" spans="1:34" ht="15" customHeight="1" x14ac:dyDescent="0.2">
      <c r="A61" t="s">
        <v>362</v>
      </c>
      <c r="B61" t="s">
        <v>75</v>
      </c>
      <c r="C61" t="s">
        <v>438</v>
      </c>
      <c r="D61" t="s">
        <v>459</v>
      </c>
      <c r="E61" t="s">
        <v>39</v>
      </c>
      <c r="F61" t="s">
        <v>40</v>
      </c>
      <c r="G61" t="s">
        <v>76</v>
      </c>
      <c r="I61" t="s">
        <v>57</v>
      </c>
      <c r="J61" t="s">
        <v>77</v>
      </c>
      <c r="K61" t="s">
        <v>83</v>
      </c>
      <c r="L61" t="s">
        <v>78</v>
      </c>
      <c r="N61" t="s">
        <v>79</v>
      </c>
      <c r="P61" t="s">
        <v>81</v>
      </c>
      <c r="Q61" t="s">
        <v>82</v>
      </c>
      <c r="R61" t="s">
        <v>80</v>
      </c>
      <c r="S61" s="1">
        <v>45930</v>
      </c>
      <c r="T61" s="1">
        <v>45802</v>
      </c>
      <c r="U61" s="1">
        <v>45802</v>
      </c>
      <c r="X61" s="1">
        <v>43767</v>
      </c>
      <c r="Y61" t="s">
        <v>69</v>
      </c>
      <c r="AA61" t="s">
        <v>65</v>
      </c>
      <c r="AB61" s="1">
        <v>45930</v>
      </c>
      <c r="AC61" s="1">
        <v>46294</v>
      </c>
      <c r="AD61" t="s">
        <v>511</v>
      </c>
      <c r="AE61" s="14">
        <v>100000</v>
      </c>
      <c r="AG61" t="s">
        <v>523</v>
      </c>
      <c r="AH61" t="s">
        <v>138</v>
      </c>
    </row>
    <row r="62" spans="1:34" ht="15" customHeight="1" x14ac:dyDescent="0.2">
      <c r="A62" t="s">
        <v>363</v>
      </c>
      <c r="B62" t="s">
        <v>425</v>
      </c>
      <c r="C62" t="s">
        <v>364</v>
      </c>
      <c r="D62" t="s">
        <v>38</v>
      </c>
      <c r="E62" t="s">
        <v>39</v>
      </c>
      <c r="F62" t="str">
        <f>IF(R62="Internal","Derived","Vendor")</f>
        <v>Vendor</v>
      </c>
      <c r="G62" t="s">
        <v>365</v>
      </c>
      <c r="I62" t="s">
        <v>57</v>
      </c>
      <c r="L62" t="s">
        <v>78</v>
      </c>
      <c r="O62" t="s">
        <v>366</v>
      </c>
      <c r="P62" t="s">
        <v>367</v>
      </c>
      <c r="Q62" t="s">
        <v>99</v>
      </c>
      <c r="R62" t="s">
        <v>368</v>
      </c>
      <c r="X62" s="5" t="s">
        <v>222</v>
      </c>
      <c r="AA62" t="s">
        <v>166</v>
      </c>
      <c r="AH62" t="s">
        <v>349</v>
      </c>
    </row>
    <row r="63" spans="1:34" ht="15" customHeight="1" x14ac:dyDescent="0.2">
      <c r="A63" t="s">
        <v>369</v>
      </c>
      <c r="B63" t="s">
        <v>426</v>
      </c>
      <c r="C63" t="s">
        <v>442</v>
      </c>
      <c r="D63" t="s">
        <v>38</v>
      </c>
      <c r="E63" t="s">
        <v>39</v>
      </c>
      <c r="F63" t="str">
        <f>IF(R63="Internal","Derived","Vendor")</f>
        <v>Vendor</v>
      </c>
      <c r="G63" t="s">
        <v>370</v>
      </c>
      <c r="I63" t="s">
        <v>57</v>
      </c>
      <c r="L63" t="s">
        <v>78</v>
      </c>
      <c r="O63" s="6" t="s">
        <v>371</v>
      </c>
      <c r="P63" t="s">
        <v>86</v>
      </c>
      <c r="Q63" t="s">
        <v>99</v>
      </c>
      <c r="R63" t="s">
        <v>368</v>
      </c>
      <c r="X63" t="s">
        <v>222</v>
      </c>
      <c r="AA63" t="s">
        <v>166</v>
      </c>
      <c r="AH63" t="s">
        <v>349</v>
      </c>
    </row>
    <row r="64" spans="1:34" ht="15" customHeight="1" x14ac:dyDescent="0.2">
      <c r="A64" t="s">
        <v>372</v>
      </c>
      <c r="B64" t="s">
        <v>427</v>
      </c>
      <c r="C64" t="s">
        <v>443</v>
      </c>
      <c r="D64" t="s">
        <v>38</v>
      </c>
      <c r="E64" t="s">
        <v>39</v>
      </c>
      <c r="F64" t="str">
        <f>IF(R64="Internal","Derived","Vendor")</f>
        <v>Vendor</v>
      </c>
      <c r="G64" t="s">
        <v>373</v>
      </c>
      <c r="I64" t="s">
        <v>57</v>
      </c>
      <c r="L64" t="s">
        <v>78</v>
      </c>
      <c r="O64" t="s">
        <v>374</v>
      </c>
      <c r="P64" t="s">
        <v>86</v>
      </c>
      <c r="Q64" t="s">
        <v>99</v>
      </c>
      <c r="R64" t="s">
        <v>375</v>
      </c>
      <c r="X64" t="s">
        <v>222</v>
      </c>
      <c r="AA64" t="s">
        <v>166</v>
      </c>
      <c r="AH64" t="s">
        <v>349</v>
      </c>
    </row>
    <row r="65" spans="1:34" ht="15" customHeight="1" x14ac:dyDescent="0.2">
      <c r="A65" t="s">
        <v>376</v>
      </c>
      <c r="B65" t="s">
        <v>428</v>
      </c>
      <c r="C65" t="s">
        <v>377</v>
      </c>
      <c r="D65" t="s">
        <v>38</v>
      </c>
      <c r="E65" t="s">
        <v>39</v>
      </c>
      <c r="F65" t="str">
        <f>IF(R65="Internal","Derived","Vendor")</f>
        <v>Vendor</v>
      </c>
      <c r="G65" t="s">
        <v>378</v>
      </c>
      <c r="I65" t="s">
        <v>57</v>
      </c>
      <c r="L65" t="s">
        <v>78</v>
      </c>
      <c r="O65" t="s">
        <v>379</v>
      </c>
      <c r="P65" t="s">
        <v>86</v>
      </c>
      <c r="Q65" t="s">
        <v>99</v>
      </c>
      <c r="R65" t="s">
        <v>375</v>
      </c>
      <c r="X65" t="s">
        <v>222</v>
      </c>
      <c r="AA65" t="s">
        <v>166</v>
      </c>
      <c r="AH65" t="s">
        <v>349</v>
      </c>
    </row>
    <row r="66" spans="1:34" ht="15" customHeight="1" x14ac:dyDescent="0.2">
      <c r="A66" t="s">
        <v>556</v>
      </c>
      <c r="B66" t="s">
        <v>132</v>
      </c>
      <c r="C66" t="s">
        <v>133</v>
      </c>
      <c r="D66" t="s">
        <v>64</v>
      </c>
      <c r="E66" t="s">
        <v>39</v>
      </c>
      <c r="F66" t="s">
        <v>40</v>
      </c>
      <c r="G66" t="s">
        <v>131</v>
      </c>
      <c r="I66" t="s">
        <v>57</v>
      </c>
      <c r="J66" t="s">
        <v>509</v>
      </c>
      <c r="L66" t="s">
        <v>45</v>
      </c>
      <c r="N66" t="s">
        <v>134</v>
      </c>
      <c r="O66" t="s">
        <v>353</v>
      </c>
      <c r="P66" t="s">
        <v>86</v>
      </c>
      <c r="Q66" t="s">
        <v>99</v>
      </c>
      <c r="R66" t="s">
        <v>113</v>
      </c>
      <c r="S66" s="1">
        <v>45642</v>
      </c>
      <c r="T66" s="1">
        <v>45796</v>
      </c>
      <c r="U66" s="1">
        <v>45796</v>
      </c>
      <c r="X66" s="1">
        <v>40039</v>
      </c>
      <c r="Y66" t="s">
        <v>111</v>
      </c>
      <c r="AA66" t="s">
        <v>573</v>
      </c>
      <c r="AB66" s="1">
        <v>46023</v>
      </c>
      <c r="AC66" s="1">
        <v>46295</v>
      </c>
      <c r="AD66" t="s">
        <v>511</v>
      </c>
      <c r="AE66" s="14">
        <v>127500</v>
      </c>
      <c r="AG66" t="s">
        <v>523</v>
      </c>
      <c r="AH66" s="8" t="s">
        <v>574</v>
      </c>
    </row>
    <row r="67" spans="1:34" ht="15" customHeight="1" x14ac:dyDescent="0.2">
      <c r="A67" t="s">
        <v>31</v>
      </c>
      <c r="B67" t="s">
        <v>98</v>
      </c>
      <c r="C67" t="s">
        <v>444</v>
      </c>
      <c r="D67" t="s">
        <v>38</v>
      </c>
      <c r="E67" t="s">
        <v>39</v>
      </c>
      <c r="F67" t="s">
        <v>40</v>
      </c>
      <c r="G67" t="s">
        <v>87</v>
      </c>
      <c r="I67" t="s">
        <v>57</v>
      </c>
      <c r="J67" t="s">
        <v>102</v>
      </c>
      <c r="K67" t="s">
        <v>83</v>
      </c>
      <c r="L67" t="s">
        <v>78</v>
      </c>
      <c r="N67" t="s">
        <v>101</v>
      </c>
      <c r="P67" t="s">
        <v>86</v>
      </c>
      <c r="Q67" t="s">
        <v>99</v>
      </c>
      <c r="R67" t="s">
        <v>100</v>
      </c>
      <c r="T67" s="1">
        <v>45803</v>
      </c>
      <c r="U67" s="1">
        <v>45803</v>
      </c>
      <c r="X67" s="1">
        <v>42005</v>
      </c>
      <c r="Y67" t="s">
        <v>69</v>
      </c>
      <c r="AA67" t="s">
        <v>97</v>
      </c>
    </row>
    <row r="68" spans="1:34" ht="15" customHeight="1" x14ac:dyDescent="0.2">
      <c r="A68" t="s">
        <v>380</v>
      </c>
      <c r="B68" t="s">
        <v>454</v>
      </c>
      <c r="C68" t="s">
        <v>381</v>
      </c>
      <c r="D68" t="s">
        <v>459</v>
      </c>
      <c r="E68" t="s">
        <v>39</v>
      </c>
      <c r="F68" t="str">
        <f>IF(R68="Internal","Derived","Vendor")</f>
        <v>Vendor</v>
      </c>
      <c r="G68" t="s">
        <v>382</v>
      </c>
      <c r="I68" t="s">
        <v>383</v>
      </c>
      <c r="L68" t="s">
        <v>45</v>
      </c>
      <c r="N68" t="s">
        <v>508</v>
      </c>
      <c r="O68" t="s">
        <v>384</v>
      </c>
      <c r="R68" t="s">
        <v>385</v>
      </c>
      <c r="S68" s="1">
        <v>45839</v>
      </c>
      <c r="U68" s="1">
        <v>45839</v>
      </c>
      <c r="X68" s="1">
        <v>45659</v>
      </c>
      <c r="AA68" t="s">
        <v>166</v>
      </c>
      <c r="AB68" s="1">
        <v>45839</v>
      </c>
      <c r="AC68" s="1">
        <v>46203</v>
      </c>
      <c r="AD68" t="s">
        <v>511</v>
      </c>
      <c r="AE68" s="14">
        <v>50000</v>
      </c>
      <c r="AG68" t="s">
        <v>523</v>
      </c>
      <c r="AH68" t="s">
        <v>138</v>
      </c>
    </row>
    <row r="69" spans="1:34" ht="15" customHeight="1" x14ac:dyDescent="0.2">
      <c r="A69" t="s">
        <v>386</v>
      </c>
      <c r="B69" t="s">
        <v>429</v>
      </c>
      <c r="C69" t="s">
        <v>387</v>
      </c>
      <c r="D69" t="s">
        <v>38</v>
      </c>
      <c r="E69" t="s">
        <v>211</v>
      </c>
      <c r="F69" t="str">
        <f>IF(R69="Internal","Derived","Vendor")</f>
        <v>Vendor</v>
      </c>
      <c r="G69" t="s">
        <v>200</v>
      </c>
      <c r="I69" t="s">
        <v>383</v>
      </c>
      <c r="L69" t="s">
        <v>45</v>
      </c>
      <c r="N69" t="s">
        <v>508</v>
      </c>
      <c r="O69" t="s">
        <v>496</v>
      </c>
      <c r="R69" t="s">
        <v>385</v>
      </c>
      <c r="X69" t="s">
        <v>310</v>
      </c>
      <c r="AA69" t="s">
        <v>166</v>
      </c>
      <c r="AG69" t="s">
        <v>138</v>
      </c>
      <c r="AH69" t="s">
        <v>138</v>
      </c>
    </row>
    <row r="70" spans="1:34" ht="15" customHeight="1" x14ac:dyDescent="0.2">
      <c r="A70" t="s">
        <v>388</v>
      </c>
      <c r="B70" t="s">
        <v>430</v>
      </c>
      <c r="D70" t="s">
        <v>38</v>
      </c>
      <c r="E70" t="s">
        <v>39</v>
      </c>
      <c r="F70" t="str">
        <f>IF(R70="Internal","Derived","Vendor")</f>
        <v>Vendor</v>
      </c>
      <c r="G70" t="s">
        <v>389</v>
      </c>
      <c r="I70" t="s">
        <v>390</v>
      </c>
      <c r="L70" t="s">
        <v>45</v>
      </c>
      <c r="R70" t="s">
        <v>165</v>
      </c>
      <c r="X70" t="s">
        <v>310</v>
      </c>
      <c r="AA70" t="s">
        <v>166</v>
      </c>
      <c r="AH70" t="s">
        <v>138</v>
      </c>
    </row>
    <row r="71" spans="1:34" ht="15" customHeight="1" x14ac:dyDescent="0.2">
      <c r="A71" t="s">
        <v>153</v>
      </c>
      <c r="B71" t="s">
        <v>476</v>
      </c>
      <c r="C71" t="s">
        <v>470</v>
      </c>
      <c r="D71" t="s">
        <v>64</v>
      </c>
      <c r="E71" t="s">
        <v>162</v>
      </c>
      <c r="F71" t="s">
        <v>40</v>
      </c>
      <c r="G71" t="s">
        <v>471</v>
      </c>
      <c r="I71" t="s">
        <v>472</v>
      </c>
      <c r="L71" t="s">
        <v>45</v>
      </c>
      <c r="P71" t="s">
        <v>86</v>
      </c>
      <c r="Q71" t="s">
        <v>99</v>
      </c>
      <c r="R71" t="s">
        <v>120</v>
      </c>
      <c r="S71" s="2">
        <v>43818</v>
      </c>
      <c r="X71" s="1">
        <v>26298</v>
      </c>
      <c r="Y71" t="s">
        <v>473</v>
      </c>
      <c r="AA71" t="s">
        <v>166</v>
      </c>
      <c r="AB71" s="1">
        <v>43818</v>
      </c>
      <c r="AC71" s="1">
        <v>46022</v>
      </c>
      <c r="AD71" t="s">
        <v>511</v>
      </c>
      <c r="AE71" s="14">
        <v>5937.5</v>
      </c>
      <c r="AG71" t="s">
        <v>523</v>
      </c>
      <c r="AH71" s="8" t="s">
        <v>554</v>
      </c>
    </row>
    <row r="72" spans="1:34" ht="15" customHeight="1" x14ac:dyDescent="0.2">
      <c r="A72" t="s">
        <v>410</v>
      </c>
      <c r="B72" t="s">
        <v>477</v>
      </c>
      <c r="C72" t="s">
        <v>539</v>
      </c>
      <c r="D72" t="s">
        <v>64</v>
      </c>
      <c r="E72" t="s">
        <v>162</v>
      </c>
      <c r="F72" t="s">
        <v>40</v>
      </c>
      <c r="G72" t="s">
        <v>471</v>
      </c>
      <c r="I72" t="s">
        <v>202</v>
      </c>
      <c r="R72" t="s">
        <v>120</v>
      </c>
      <c r="S72" s="1">
        <v>45555</v>
      </c>
      <c r="U72" s="1">
        <v>45555</v>
      </c>
      <c r="X72" s="1">
        <v>42736</v>
      </c>
      <c r="Y72" t="s">
        <v>473</v>
      </c>
      <c r="AA72" t="s">
        <v>186</v>
      </c>
      <c r="AB72" s="1">
        <v>45555</v>
      </c>
      <c r="AC72" s="1" t="s">
        <v>138</v>
      </c>
      <c r="AD72" t="s">
        <v>511</v>
      </c>
      <c r="AE72" s="14">
        <v>47000</v>
      </c>
      <c r="AG72" t="s">
        <v>138</v>
      </c>
      <c r="AH72" t="s">
        <v>187</v>
      </c>
    </row>
    <row r="73" spans="1:34" ht="15" customHeight="1" x14ac:dyDescent="0.2">
      <c r="A73" t="s">
        <v>56</v>
      </c>
      <c r="B73" t="s">
        <v>127</v>
      </c>
      <c r="C73" t="s">
        <v>129</v>
      </c>
      <c r="D73" t="s">
        <v>459</v>
      </c>
      <c r="E73" t="s">
        <v>39</v>
      </c>
      <c r="F73" t="s">
        <v>40</v>
      </c>
      <c r="G73" t="s">
        <v>130</v>
      </c>
      <c r="I73" t="s">
        <v>57</v>
      </c>
      <c r="J73" t="s">
        <v>510</v>
      </c>
      <c r="L73" t="s">
        <v>45</v>
      </c>
      <c r="N73" t="s">
        <v>128</v>
      </c>
      <c r="P73" t="s">
        <v>86</v>
      </c>
      <c r="Q73" t="s">
        <v>99</v>
      </c>
      <c r="R73" t="s">
        <v>120</v>
      </c>
      <c r="S73" s="1" t="s">
        <v>138</v>
      </c>
      <c r="T73" s="1">
        <v>45804</v>
      </c>
      <c r="U73" s="1">
        <v>45804</v>
      </c>
      <c r="X73" s="1">
        <v>42430</v>
      </c>
      <c r="Y73" t="s">
        <v>473</v>
      </c>
      <c r="AA73" t="s">
        <v>65</v>
      </c>
      <c r="AB73" s="1">
        <v>45915</v>
      </c>
      <c r="AC73" s="1">
        <v>46146</v>
      </c>
      <c r="AD73" t="s">
        <v>500</v>
      </c>
      <c r="AE73" s="14">
        <v>72000</v>
      </c>
      <c r="AG73" t="s">
        <v>524</v>
      </c>
      <c r="AH73" t="s">
        <v>501</v>
      </c>
    </row>
    <row r="74" spans="1:34" ht="15" customHeight="1" x14ac:dyDescent="0.2">
      <c r="A74" t="s">
        <v>391</v>
      </c>
      <c r="B74" t="s">
        <v>431</v>
      </c>
      <c r="C74" t="s">
        <v>392</v>
      </c>
      <c r="D74" t="s">
        <v>38</v>
      </c>
      <c r="E74" t="s">
        <v>39</v>
      </c>
      <c r="F74" t="str">
        <f>IF(R74="Internal","Derived","Vendor")</f>
        <v>Vendor</v>
      </c>
      <c r="G74" t="s">
        <v>382</v>
      </c>
      <c r="I74" t="s">
        <v>383</v>
      </c>
      <c r="L74" t="s">
        <v>45</v>
      </c>
      <c r="R74" t="s">
        <v>393</v>
      </c>
      <c r="X74" t="s">
        <v>310</v>
      </c>
      <c r="AA74" t="s">
        <v>166</v>
      </c>
    </row>
    <row r="75" spans="1:34" ht="15" customHeight="1" x14ac:dyDescent="0.2">
      <c r="A75" t="s">
        <v>394</v>
      </c>
      <c r="B75" t="s">
        <v>432</v>
      </c>
      <c r="C75" t="s">
        <v>352</v>
      </c>
      <c r="D75" t="s">
        <v>38</v>
      </c>
      <c r="E75" t="s">
        <v>39</v>
      </c>
      <c r="F75" t="str">
        <f>IF(R75="Internal","Derived","Vendor")</f>
        <v>Vendor</v>
      </c>
      <c r="G75" t="s">
        <v>131</v>
      </c>
      <c r="I75" t="s">
        <v>57</v>
      </c>
      <c r="L75" t="s">
        <v>78</v>
      </c>
      <c r="P75" t="s">
        <v>86</v>
      </c>
      <c r="Q75" t="s">
        <v>99</v>
      </c>
      <c r="R75" t="s">
        <v>395</v>
      </c>
      <c r="X75" t="s">
        <v>310</v>
      </c>
      <c r="AA75" t="s">
        <v>166</v>
      </c>
      <c r="AH75" t="s">
        <v>356</v>
      </c>
    </row>
    <row r="76" spans="1:34" ht="15" customHeight="1" x14ac:dyDescent="0.2">
      <c r="A76" t="s">
        <v>396</v>
      </c>
      <c r="B76" t="s">
        <v>433</v>
      </c>
      <c r="C76" t="s">
        <v>445</v>
      </c>
      <c r="D76" t="s">
        <v>38</v>
      </c>
      <c r="E76" t="s">
        <v>39</v>
      </c>
      <c r="F76" t="str">
        <f>IF(R76="Internal","Derived","Vendor")</f>
        <v>Vendor</v>
      </c>
      <c r="G76" t="s">
        <v>397</v>
      </c>
      <c r="I76" t="s">
        <v>57</v>
      </c>
      <c r="L76" t="s">
        <v>45</v>
      </c>
      <c r="P76" t="s">
        <v>46</v>
      </c>
      <c r="Q76" t="s">
        <v>108</v>
      </c>
      <c r="R76" t="s">
        <v>59</v>
      </c>
      <c r="X76" t="s">
        <v>227</v>
      </c>
      <c r="AA76" t="s">
        <v>166</v>
      </c>
    </row>
    <row r="77" spans="1:34" ht="15" customHeight="1" x14ac:dyDescent="0.2">
      <c r="A77" t="s">
        <v>398</v>
      </c>
      <c r="B77" t="s">
        <v>434</v>
      </c>
      <c r="C77" t="s">
        <v>399</v>
      </c>
      <c r="D77" t="s">
        <v>38</v>
      </c>
      <c r="E77" t="s">
        <v>39</v>
      </c>
      <c r="F77" t="str">
        <f t="shared" ref="F77:F79" si="2">IF(R77="Internal","Derived","Vendor")</f>
        <v>Vendor</v>
      </c>
      <c r="G77" t="s">
        <v>200</v>
      </c>
      <c r="I77" t="s">
        <v>435</v>
      </c>
      <c r="L77" t="s">
        <v>45</v>
      </c>
      <c r="R77" t="s">
        <v>400</v>
      </c>
      <c r="X77" t="s">
        <v>310</v>
      </c>
      <c r="AA77" t="s">
        <v>166</v>
      </c>
      <c r="AH77" t="s">
        <v>462</v>
      </c>
    </row>
    <row r="78" spans="1:34" ht="15" customHeight="1" x14ac:dyDescent="0.2">
      <c r="A78" t="s">
        <v>401</v>
      </c>
      <c r="B78" t="s">
        <v>436</v>
      </c>
      <c r="C78" t="s">
        <v>463</v>
      </c>
      <c r="D78" t="s">
        <v>38</v>
      </c>
      <c r="E78" t="s">
        <v>39</v>
      </c>
      <c r="F78" t="str">
        <f t="shared" si="2"/>
        <v>Vendor</v>
      </c>
      <c r="G78" t="s">
        <v>200</v>
      </c>
      <c r="I78" t="s">
        <v>202</v>
      </c>
      <c r="L78" t="s">
        <v>45</v>
      </c>
      <c r="O78" t="s">
        <v>402</v>
      </c>
      <c r="R78" t="s">
        <v>244</v>
      </c>
      <c r="X78" t="s">
        <v>310</v>
      </c>
      <c r="AA78" t="s">
        <v>166</v>
      </c>
      <c r="AH78" t="s">
        <v>462</v>
      </c>
    </row>
    <row r="79" spans="1:34" ht="15" customHeight="1" x14ac:dyDescent="0.2">
      <c r="A79" t="s">
        <v>403</v>
      </c>
      <c r="B79" t="s">
        <v>437</v>
      </c>
      <c r="D79" t="s">
        <v>38</v>
      </c>
      <c r="E79" t="s">
        <v>39</v>
      </c>
      <c r="F79" t="str">
        <f t="shared" si="2"/>
        <v>Vendor</v>
      </c>
      <c r="G79" t="s">
        <v>200</v>
      </c>
      <c r="I79" t="s">
        <v>202</v>
      </c>
      <c r="L79" t="s">
        <v>45</v>
      </c>
      <c r="R79" t="s">
        <v>165</v>
      </c>
      <c r="X79" t="s">
        <v>310</v>
      </c>
      <c r="AA79" t="s">
        <v>166</v>
      </c>
    </row>
    <row r="80" spans="1:34" ht="15" customHeight="1" x14ac:dyDescent="0.2">
      <c r="A80" t="s">
        <v>448</v>
      </c>
      <c r="B80" t="s">
        <v>449</v>
      </c>
      <c r="C80" t="s">
        <v>450</v>
      </c>
      <c r="D80" t="s">
        <v>38</v>
      </c>
      <c r="E80" t="s">
        <v>39</v>
      </c>
      <c r="F80" t="s">
        <v>40</v>
      </c>
      <c r="G80" t="s">
        <v>451</v>
      </c>
      <c r="I80" t="s">
        <v>390</v>
      </c>
      <c r="L80" t="s">
        <v>78</v>
      </c>
      <c r="N80" t="s">
        <v>452</v>
      </c>
      <c r="P80" t="s">
        <v>46</v>
      </c>
      <c r="Q80" t="s">
        <v>108</v>
      </c>
      <c r="R80" t="s">
        <v>453</v>
      </c>
      <c r="T80" s="1">
        <v>45915</v>
      </c>
      <c r="U80" s="1">
        <v>45915</v>
      </c>
      <c r="X80" s="1">
        <v>43468</v>
      </c>
      <c r="AA80" t="s">
        <v>50</v>
      </c>
    </row>
    <row r="81" spans="1:34" ht="15" customHeight="1" x14ac:dyDescent="0.2">
      <c r="A81" t="s">
        <v>457</v>
      </c>
      <c r="B81" t="s">
        <v>455</v>
      </c>
      <c r="C81" t="s">
        <v>538</v>
      </c>
      <c r="D81" t="s">
        <v>459</v>
      </c>
      <c r="E81" t="s">
        <v>162</v>
      </c>
      <c r="F81" t="s">
        <v>40</v>
      </c>
      <c r="G81" t="s">
        <v>200</v>
      </c>
      <c r="I81" t="s">
        <v>435</v>
      </c>
      <c r="L81" t="s">
        <v>45</v>
      </c>
      <c r="O81" t="s">
        <v>497</v>
      </c>
      <c r="P81" t="s">
        <v>86</v>
      </c>
      <c r="R81" t="s">
        <v>165</v>
      </c>
      <c r="S81" s="1">
        <v>44362</v>
      </c>
      <c r="U81" s="1">
        <v>44362</v>
      </c>
      <c r="AA81" t="s">
        <v>166</v>
      </c>
      <c r="AB81" s="1">
        <v>44362</v>
      </c>
      <c r="AD81" t="s">
        <v>511</v>
      </c>
      <c r="AE81" s="14">
        <v>37044</v>
      </c>
      <c r="AG81" t="s">
        <v>523</v>
      </c>
    </row>
    <row r="82" spans="1:34" ht="15" customHeight="1" x14ac:dyDescent="0.2">
      <c r="A82" t="s">
        <v>458</v>
      </c>
      <c r="B82" t="s">
        <v>456</v>
      </c>
      <c r="C82" t="s">
        <v>540</v>
      </c>
      <c r="D82" t="s">
        <v>459</v>
      </c>
      <c r="E82" t="s">
        <v>162</v>
      </c>
      <c r="F82" t="s">
        <v>40</v>
      </c>
      <c r="G82" t="s">
        <v>460</v>
      </c>
      <c r="I82" t="s">
        <v>435</v>
      </c>
      <c r="L82" t="s">
        <v>45</v>
      </c>
      <c r="O82" t="s">
        <v>498</v>
      </c>
      <c r="R82" t="s">
        <v>461</v>
      </c>
      <c r="S82" s="1">
        <v>43333</v>
      </c>
      <c r="U82" s="1">
        <v>43333</v>
      </c>
      <c r="X82" s="1">
        <v>41275</v>
      </c>
      <c r="AA82" t="s">
        <v>166</v>
      </c>
      <c r="AB82" s="1">
        <v>43333</v>
      </c>
      <c r="AD82" t="s">
        <v>511</v>
      </c>
      <c r="AE82" s="14">
        <v>10430.799999999999</v>
      </c>
      <c r="AF82" t="s">
        <v>541</v>
      </c>
      <c r="AG82" t="s">
        <v>523</v>
      </c>
      <c r="AH82" t="s">
        <v>542</v>
      </c>
    </row>
    <row r="83" spans="1:34" ht="15" customHeight="1" x14ac:dyDescent="0.2">
      <c r="A83" t="s">
        <v>464</v>
      </c>
      <c r="B83" t="s">
        <v>474</v>
      </c>
      <c r="C83" t="s">
        <v>478</v>
      </c>
      <c r="D83" t="s">
        <v>64</v>
      </c>
      <c r="E83" t="s">
        <v>162</v>
      </c>
      <c r="F83" t="s">
        <v>40</v>
      </c>
      <c r="G83" t="s">
        <v>130</v>
      </c>
      <c r="I83" t="s">
        <v>57</v>
      </c>
      <c r="L83" t="s">
        <v>45</v>
      </c>
      <c r="P83" t="s">
        <v>86</v>
      </c>
      <c r="Q83" t="s">
        <v>99</v>
      </c>
      <c r="R83" t="s">
        <v>120</v>
      </c>
      <c r="S83" s="1">
        <v>44075</v>
      </c>
      <c r="X83" s="1">
        <v>35430</v>
      </c>
      <c r="Y83" t="s">
        <v>473</v>
      </c>
      <c r="AA83" t="s">
        <v>166</v>
      </c>
      <c r="AB83" s="1">
        <v>44075</v>
      </c>
      <c r="AC83" s="1">
        <v>46022</v>
      </c>
      <c r="AD83" t="s">
        <v>511</v>
      </c>
      <c r="AE83" s="14">
        <v>10000</v>
      </c>
      <c r="AG83" t="s">
        <v>523</v>
      </c>
      <c r="AH83" s="8" t="s">
        <v>525</v>
      </c>
    </row>
    <row r="84" spans="1:34" x14ac:dyDescent="0.2">
      <c r="A84" t="s">
        <v>465</v>
      </c>
      <c r="B84" t="s">
        <v>479</v>
      </c>
      <c r="C84" t="s">
        <v>480</v>
      </c>
      <c r="D84" t="s">
        <v>64</v>
      </c>
      <c r="E84" t="s">
        <v>162</v>
      </c>
      <c r="F84" t="s">
        <v>40</v>
      </c>
      <c r="G84" t="s">
        <v>481</v>
      </c>
      <c r="I84" t="s">
        <v>482</v>
      </c>
      <c r="L84" t="s">
        <v>45</v>
      </c>
      <c r="P84" t="s">
        <v>86</v>
      </c>
      <c r="Q84" t="s">
        <v>99</v>
      </c>
      <c r="R84" t="s">
        <v>120</v>
      </c>
      <c r="S84" s="1">
        <v>43818</v>
      </c>
      <c r="X84" s="1">
        <v>28853</v>
      </c>
      <c r="Y84" t="s">
        <v>473</v>
      </c>
      <c r="AA84" t="s">
        <v>166</v>
      </c>
      <c r="AB84" s="1">
        <v>43818</v>
      </c>
      <c r="AC84" s="1">
        <v>46022</v>
      </c>
      <c r="AD84" t="s">
        <v>511</v>
      </c>
      <c r="AE84" s="14">
        <v>5937.5</v>
      </c>
      <c r="AG84" t="s">
        <v>523</v>
      </c>
      <c r="AH84" s="8" t="s">
        <v>554</v>
      </c>
    </row>
    <row r="85" spans="1:34" x14ac:dyDescent="0.2">
      <c r="A85" t="s">
        <v>466</v>
      </c>
      <c r="B85" t="s">
        <v>486</v>
      </c>
      <c r="C85" t="s">
        <v>487</v>
      </c>
      <c r="D85" t="s">
        <v>64</v>
      </c>
      <c r="E85" t="s">
        <v>162</v>
      </c>
      <c r="F85" t="s">
        <v>40</v>
      </c>
      <c r="G85" t="s">
        <v>481</v>
      </c>
      <c r="I85" t="s">
        <v>57</v>
      </c>
      <c r="L85" t="s">
        <v>45</v>
      </c>
      <c r="P85" t="s">
        <v>86</v>
      </c>
      <c r="Q85" t="s">
        <v>99</v>
      </c>
      <c r="R85" t="s">
        <v>120</v>
      </c>
      <c r="S85" s="1">
        <v>43818</v>
      </c>
      <c r="X85" s="1">
        <v>32874</v>
      </c>
      <c r="Y85" t="s">
        <v>473</v>
      </c>
      <c r="AA85" t="s">
        <v>166</v>
      </c>
      <c r="AB85" s="1">
        <v>43818</v>
      </c>
      <c r="AC85" s="1">
        <v>46022</v>
      </c>
      <c r="AD85" t="s">
        <v>511</v>
      </c>
      <c r="AE85" s="14">
        <v>5937.5</v>
      </c>
      <c r="AG85" t="s">
        <v>523</v>
      </c>
      <c r="AH85" s="8" t="s">
        <v>554</v>
      </c>
    </row>
    <row r="86" spans="1:34" x14ac:dyDescent="0.2">
      <c r="A86" t="s">
        <v>467</v>
      </c>
      <c r="B86" t="s">
        <v>488</v>
      </c>
      <c r="C86" t="s">
        <v>489</v>
      </c>
      <c r="D86" t="s">
        <v>64</v>
      </c>
      <c r="E86" t="s">
        <v>162</v>
      </c>
      <c r="F86" t="s">
        <v>40</v>
      </c>
      <c r="G86" t="s">
        <v>490</v>
      </c>
      <c r="I86" t="s">
        <v>57</v>
      </c>
      <c r="L86" t="s">
        <v>45</v>
      </c>
      <c r="P86" t="s">
        <v>46</v>
      </c>
      <c r="Q86" t="s">
        <v>47</v>
      </c>
      <c r="R86" t="s">
        <v>120</v>
      </c>
      <c r="S86" s="1">
        <v>44075</v>
      </c>
      <c r="X86" s="1">
        <v>37986</v>
      </c>
      <c r="Y86" t="s">
        <v>473</v>
      </c>
      <c r="AA86" t="s">
        <v>166</v>
      </c>
      <c r="AB86" s="1">
        <v>44075</v>
      </c>
      <c r="AC86" s="1">
        <v>46022</v>
      </c>
      <c r="AD86" t="s">
        <v>511</v>
      </c>
      <c r="AE86" s="14">
        <v>10000</v>
      </c>
      <c r="AG86" t="s">
        <v>523</v>
      </c>
      <c r="AH86" s="8" t="s">
        <v>525</v>
      </c>
    </row>
    <row r="87" spans="1:34" x14ac:dyDescent="0.2">
      <c r="A87" t="s">
        <v>468</v>
      </c>
      <c r="B87" t="s">
        <v>491</v>
      </c>
      <c r="C87" t="s">
        <v>492</v>
      </c>
      <c r="D87" t="s">
        <v>64</v>
      </c>
      <c r="E87" t="s">
        <v>162</v>
      </c>
      <c r="F87" t="s">
        <v>40</v>
      </c>
      <c r="G87" t="s">
        <v>490</v>
      </c>
      <c r="I87" t="s">
        <v>57</v>
      </c>
      <c r="L87" t="s">
        <v>45</v>
      </c>
      <c r="P87" t="s">
        <v>86</v>
      </c>
      <c r="Q87" t="s">
        <v>99</v>
      </c>
      <c r="R87" t="s">
        <v>120</v>
      </c>
      <c r="S87" s="1">
        <v>43818</v>
      </c>
      <c r="X87" s="1">
        <v>36160</v>
      </c>
      <c r="Y87" t="s">
        <v>473</v>
      </c>
      <c r="AA87" t="s">
        <v>166</v>
      </c>
      <c r="AB87" s="1">
        <v>43818</v>
      </c>
      <c r="AC87" s="1">
        <v>46022</v>
      </c>
      <c r="AD87" t="s">
        <v>511</v>
      </c>
      <c r="AE87" s="14">
        <f>38400/3</f>
        <v>12800</v>
      </c>
      <c r="AG87" t="s">
        <v>523</v>
      </c>
      <c r="AH87" s="8" t="s">
        <v>499</v>
      </c>
    </row>
    <row r="88" spans="1:34" x14ac:dyDescent="0.2">
      <c r="A88" t="s">
        <v>469</v>
      </c>
      <c r="B88" t="s">
        <v>493</v>
      </c>
      <c r="C88" t="s">
        <v>494</v>
      </c>
      <c r="D88" t="s">
        <v>64</v>
      </c>
      <c r="E88" t="s">
        <v>162</v>
      </c>
      <c r="F88" t="s">
        <v>40</v>
      </c>
      <c r="G88" t="s">
        <v>370</v>
      </c>
      <c r="I88" t="s">
        <v>495</v>
      </c>
      <c r="L88" t="s">
        <v>45</v>
      </c>
      <c r="P88" t="s">
        <v>86</v>
      </c>
      <c r="Q88" t="s">
        <v>99</v>
      </c>
      <c r="R88" t="s">
        <v>120</v>
      </c>
      <c r="S88" s="1">
        <v>43818</v>
      </c>
      <c r="X88" s="1">
        <v>38352</v>
      </c>
      <c r="Y88" t="s">
        <v>473</v>
      </c>
      <c r="AA88" t="s">
        <v>166</v>
      </c>
      <c r="AB88" s="1">
        <v>43818</v>
      </c>
      <c r="AC88" s="1">
        <v>46022</v>
      </c>
      <c r="AD88" t="s">
        <v>511</v>
      </c>
      <c r="AE88" s="14">
        <f>38400/3</f>
        <v>12800</v>
      </c>
      <c r="AG88" t="s">
        <v>523</v>
      </c>
      <c r="AH88" s="8" t="s">
        <v>499</v>
      </c>
    </row>
    <row r="89" spans="1:34" x14ac:dyDescent="0.2">
      <c r="A89" t="s">
        <v>507</v>
      </c>
      <c r="B89" t="s">
        <v>502</v>
      </c>
      <c r="C89" t="s">
        <v>503</v>
      </c>
      <c r="D89" t="s">
        <v>38</v>
      </c>
      <c r="E89" t="s">
        <v>39</v>
      </c>
      <c r="F89" t="s">
        <v>40</v>
      </c>
      <c r="G89" t="s">
        <v>87</v>
      </c>
      <c r="I89" t="s">
        <v>57</v>
      </c>
      <c r="J89" t="s">
        <v>504</v>
      </c>
      <c r="K89" t="s">
        <v>83</v>
      </c>
      <c r="L89" t="s">
        <v>78</v>
      </c>
      <c r="N89" t="s">
        <v>512</v>
      </c>
      <c r="P89" t="s">
        <v>86</v>
      </c>
      <c r="Q89" t="s">
        <v>99</v>
      </c>
      <c r="R89" t="s">
        <v>506</v>
      </c>
      <c r="T89" s="1">
        <v>45926</v>
      </c>
      <c r="U89" s="1">
        <v>45926</v>
      </c>
      <c r="W89" s="1">
        <v>45291</v>
      </c>
      <c r="X89" s="1">
        <v>43466</v>
      </c>
      <c r="Y89" t="s">
        <v>473</v>
      </c>
      <c r="AA89" t="s">
        <v>65</v>
      </c>
    </row>
    <row r="90" spans="1:34" ht="15" customHeight="1" x14ac:dyDescent="0.2">
      <c r="A90" t="s">
        <v>513</v>
      </c>
      <c r="B90" t="s">
        <v>514</v>
      </c>
      <c r="C90" s="6" t="s">
        <v>515</v>
      </c>
      <c r="D90" t="s">
        <v>38</v>
      </c>
      <c r="E90" t="s">
        <v>39</v>
      </c>
      <c r="F90" t="s">
        <v>40</v>
      </c>
      <c r="G90" t="s">
        <v>516</v>
      </c>
      <c r="I90" t="s">
        <v>57</v>
      </c>
      <c r="J90" t="s">
        <v>517</v>
      </c>
      <c r="L90" t="s">
        <v>78</v>
      </c>
      <c r="M90" t="s">
        <v>520</v>
      </c>
      <c r="N90" t="s">
        <v>518</v>
      </c>
      <c r="P90" t="s">
        <v>46</v>
      </c>
      <c r="Q90" t="s">
        <v>47</v>
      </c>
      <c r="R90" t="s">
        <v>519</v>
      </c>
      <c r="T90" s="1">
        <v>45930</v>
      </c>
      <c r="U90" s="1">
        <v>45930</v>
      </c>
      <c r="W90" s="1">
        <v>41519</v>
      </c>
      <c r="X90" s="1">
        <v>33735</v>
      </c>
      <c r="AA90" t="s">
        <v>65</v>
      </c>
    </row>
    <row r="91" spans="1:34" x14ac:dyDescent="0.2">
      <c r="A91" t="s">
        <v>526</v>
      </c>
      <c r="B91" t="s">
        <v>527</v>
      </c>
      <c r="C91" t="s">
        <v>529</v>
      </c>
      <c r="D91" t="s">
        <v>38</v>
      </c>
      <c r="E91" t="s">
        <v>39</v>
      </c>
      <c r="F91" t="s">
        <v>40</v>
      </c>
      <c r="G91" t="s">
        <v>528</v>
      </c>
      <c r="I91" t="s">
        <v>57</v>
      </c>
      <c r="J91" t="s">
        <v>530</v>
      </c>
      <c r="K91" t="s">
        <v>531</v>
      </c>
      <c r="L91" t="s">
        <v>78</v>
      </c>
      <c r="N91" t="s">
        <v>532</v>
      </c>
      <c r="P91" t="s">
        <v>86</v>
      </c>
      <c r="Q91" t="s">
        <v>505</v>
      </c>
      <c r="R91" t="s">
        <v>533</v>
      </c>
      <c r="T91" s="1">
        <v>45936</v>
      </c>
      <c r="U91" s="1">
        <v>45936</v>
      </c>
      <c r="W91" s="1">
        <v>44840</v>
      </c>
      <c r="X91" s="1">
        <v>42736</v>
      </c>
      <c r="Y91" t="s">
        <v>534</v>
      </c>
      <c r="Z91" s="12" t="s">
        <v>535</v>
      </c>
      <c r="AA91" t="s">
        <v>65</v>
      </c>
    </row>
    <row r="92" spans="1:34" x14ac:dyDescent="0.2">
      <c r="A92" t="s">
        <v>544</v>
      </c>
      <c r="B92" t="s">
        <v>545</v>
      </c>
      <c r="C92" t="s">
        <v>546</v>
      </c>
      <c r="D92" t="s">
        <v>38</v>
      </c>
      <c r="E92" t="s">
        <v>39</v>
      </c>
      <c r="F92" t="s">
        <v>40</v>
      </c>
      <c r="G92" t="s">
        <v>549</v>
      </c>
      <c r="H92" t="s">
        <v>548</v>
      </c>
      <c r="I92" t="s">
        <v>57</v>
      </c>
      <c r="J92" t="s">
        <v>550</v>
      </c>
      <c r="L92" t="s">
        <v>78</v>
      </c>
      <c r="N92" t="s">
        <v>551</v>
      </c>
      <c r="P92" t="s">
        <v>86</v>
      </c>
      <c r="Q92" t="s">
        <v>99</v>
      </c>
      <c r="R92" t="s">
        <v>552</v>
      </c>
      <c r="T92" s="1">
        <v>45939</v>
      </c>
      <c r="U92" s="1">
        <v>45939</v>
      </c>
      <c r="W92" s="1">
        <v>44013</v>
      </c>
      <c r="X92" s="1">
        <v>44013</v>
      </c>
      <c r="Y92" t="s">
        <v>69</v>
      </c>
      <c r="AA92" t="s">
        <v>65</v>
      </c>
    </row>
    <row r="93" spans="1:34" x14ac:dyDescent="0.2">
      <c r="A93" t="s">
        <v>559</v>
      </c>
      <c r="B93" t="s">
        <v>561</v>
      </c>
      <c r="C93" t="s">
        <v>562</v>
      </c>
      <c r="D93" t="s">
        <v>38</v>
      </c>
      <c r="E93" t="s">
        <v>39</v>
      </c>
      <c r="F93" t="s">
        <v>40</v>
      </c>
      <c r="G93" t="s">
        <v>563</v>
      </c>
      <c r="I93" t="s">
        <v>57</v>
      </c>
      <c r="J93" t="s">
        <v>564</v>
      </c>
      <c r="L93" t="s">
        <v>78</v>
      </c>
      <c r="N93" t="s">
        <v>570</v>
      </c>
      <c r="P93" t="s">
        <v>46</v>
      </c>
      <c r="Q93" t="s">
        <v>47</v>
      </c>
      <c r="R93" t="s">
        <v>566</v>
      </c>
      <c r="T93" s="1">
        <v>45943</v>
      </c>
      <c r="U93" s="1">
        <v>45943</v>
      </c>
      <c r="X93" s="1">
        <v>39083</v>
      </c>
      <c r="Y93" t="s">
        <v>60</v>
      </c>
      <c r="AA93" t="s">
        <v>65</v>
      </c>
    </row>
    <row r="94" spans="1:34" x14ac:dyDescent="0.2">
      <c r="A94" t="s">
        <v>560</v>
      </c>
      <c r="B94" t="s">
        <v>567</v>
      </c>
      <c r="C94" t="s">
        <v>568</v>
      </c>
      <c r="D94" t="s">
        <v>38</v>
      </c>
      <c r="E94" t="s">
        <v>39</v>
      </c>
      <c r="F94" t="s">
        <v>40</v>
      </c>
      <c r="G94" t="s">
        <v>563</v>
      </c>
      <c r="I94" t="s">
        <v>242</v>
      </c>
      <c r="J94" t="s">
        <v>569</v>
      </c>
      <c r="L94" t="s">
        <v>45</v>
      </c>
      <c r="N94" t="s">
        <v>565</v>
      </c>
      <c r="P94" t="s">
        <v>86</v>
      </c>
      <c r="Q94" t="s">
        <v>99</v>
      </c>
      <c r="R94" t="s">
        <v>566</v>
      </c>
      <c r="T94" s="1">
        <v>45943</v>
      </c>
      <c r="U94" s="1">
        <v>45943</v>
      </c>
      <c r="X94" s="1">
        <v>43466</v>
      </c>
      <c r="Y94" t="s">
        <v>60</v>
      </c>
      <c r="AA94" t="s">
        <v>166</v>
      </c>
    </row>
  </sheetData>
  <hyperlinks>
    <hyperlink ref="Z91" r:id="rId1" xr:uid="{599CE5EE-F686-FE43-8D11-4AA162376A7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5AFD8-4F1E-D24E-8E85-39C70EAF12F4}">
  <dimension ref="A2:B21"/>
  <sheetViews>
    <sheetView workbookViewId="0">
      <selection activeCell="A2" sqref="A2:B21"/>
    </sheetView>
  </sheetViews>
  <sheetFormatPr baseColWidth="10" defaultRowHeight="16" x14ac:dyDescent="0.2"/>
  <cols>
    <col min="1" max="1" width="16.5" bestFit="1" customWidth="1"/>
    <col min="2" max="2" width="64" customWidth="1"/>
  </cols>
  <sheetData>
    <row r="2" spans="1:2" x14ac:dyDescent="0.2">
      <c r="A2" s="9" t="s">
        <v>0</v>
      </c>
      <c r="B2" s="9" t="s">
        <v>31</v>
      </c>
    </row>
    <row r="3" spans="1:2" x14ac:dyDescent="0.2">
      <c r="A3" s="9" t="s">
        <v>1</v>
      </c>
      <c r="B3" s="9" t="s">
        <v>98</v>
      </c>
    </row>
    <row r="4" spans="1:2" ht="119" x14ac:dyDescent="0.2">
      <c r="A4" s="9" t="s">
        <v>2</v>
      </c>
      <c r="B4" s="10" t="s">
        <v>444</v>
      </c>
    </row>
    <row r="5" spans="1:2" x14ac:dyDescent="0.2">
      <c r="A5" s="9" t="s">
        <v>3</v>
      </c>
      <c r="B5" s="9" t="s">
        <v>38</v>
      </c>
    </row>
    <row r="6" spans="1:2" x14ac:dyDescent="0.2">
      <c r="A6" s="9" t="s">
        <v>4</v>
      </c>
      <c r="B6" s="9" t="s">
        <v>39</v>
      </c>
    </row>
    <row r="7" spans="1:2" x14ac:dyDescent="0.2">
      <c r="A7" s="9" t="s">
        <v>5</v>
      </c>
      <c r="B7" s="9" t="s">
        <v>40</v>
      </c>
    </row>
    <row r="8" spans="1:2" x14ac:dyDescent="0.2">
      <c r="A8" s="9" t="s">
        <v>6</v>
      </c>
      <c r="B8" s="9" t="s">
        <v>87</v>
      </c>
    </row>
    <row r="9" spans="1:2" x14ac:dyDescent="0.2">
      <c r="A9" s="9" t="s">
        <v>7</v>
      </c>
      <c r="B9" s="9" t="s">
        <v>57</v>
      </c>
    </row>
    <row r="10" spans="1:2" x14ac:dyDescent="0.2">
      <c r="A10" s="9" t="s">
        <v>18</v>
      </c>
      <c r="B10" s="9" t="s">
        <v>102</v>
      </c>
    </row>
    <row r="11" spans="1:2" x14ac:dyDescent="0.2">
      <c r="A11" s="9" t="s">
        <v>20</v>
      </c>
      <c r="B11" s="9" t="s">
        <v>83</v>
      </c>
    </row>
    <row r="12" spans="1:2" x14ac:dyDescent="0.2">
      <c r="A12" s="9" t="s">
        <v>8</v>
      </c>
      <c r="B12" s="9" t="s">
        <v>78</v>
      </c>
    </row>
    <row r="13" spans="1:2" x14ac:dyDescent="0.2">
      <c r="A13" s="9" t="s">
        <v>208</v>
      </c>
      <c r="B13" s="9" t="s">
        <v>101</v>
      </c>
    </row>
    <row r="14" spans="1:2" x14ac:dyDescent="0.2">
      <c r="A14" s="9" t="s">
        <v>209</v>
      </c>
      <c r="B14" s="9"/>
    </row>
    <row r="15" spans="1:2" x14ac:dyDescent="0.2">
      <c r="A15" s="9" t="s">
        <v>10</v>
      </c>
      <c r="B15" s="9" t="s">
        <v>86</v>
      </c>
    </row>
    <row r="16" spans="1:2" x14ac:dyDescent="0.2">
      <c r="A16" s="9" t="s">
        <v>11</v>
      </c>
      <c r="B16" s="9" t="s">
        <v>99</v>
      </c>
    </row>
    <row r="17" spans="1:2" x14ac:dyDescent="0.2">
      <c r="A17" s="9" t="s">
        <v>12</v>
      </c>
      <c r="B17" s="9" t="s">
        <v>100</v>
      </c>
    </row>
    <row r="18" spans="1:2" x14ac:dyDescent="0.2">
      <c r="A18" s="9" t="s">
        <v>14</v>
      </c>
      <c r="B18" s="11">
        <v>45803</v>
      </c>
    </row>
    <row r="19" spans="1:2" x14ac:dyDescent="0.2">
      <c r="A19" s="9" t="s">
        <v>15</v>
      </c>
      <c r="B19" s="11">
        <v>45803</v>
      </c>
    </row>
    <row r="20" spans="1:2" x14ac:dyDescent="0.2">
      <c r="A20" s="9" t="s">
        <v>17</v>
      </c>
      <c r="B20" s="11">
        <v>42005</v>
      </c>
    </row>
    <row r="21" spans="1:2" x14ac:dyDescent="0.2">
      <c r="A21" s="9" t="s">
        <v>19</v>
      </c>
      <c r="B21" s="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Cohen</dc:creator>
  <cp:lastModifiedBy>Ben Cohen</cp:lastModifiedBy>
  <dcterms:created xsi:type="dcterms:W3CDTF">2025-08-19T12:52:33Z</dcterms:created>
  <dcterms:modified xsi:type="dcterms:W3CDTF">2025-10-29T13:11:10Z</dcterms:modified>
</cp:coreProperties>
</file>